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Wards (last 12 months)" state="visible" r:id="rId5"/>
    <sheet sheetId="3" name="Wards (this term)" state="visible" r:id="rId6"/>
    <sheet sheetId="4" name="Projects" state="visible" r:id="rId7"/>
    <sheet sheetId="5" name="Changes" state="visible" r:id="rId8"/>
  </sheets>
  <calcPr calcId="171027"/>
</workbook>
</file>

<file path=xl/sharedStrings.xml><?xml version="1.0" encoding="utf-8"?>
<sst xmlns="http://schemas.openxmlformats.org/spreadsheetml/2006/main" count="262" uniqueCount="163">
  <si>
    <t>Impact report: Alder actions tab: the zoning stage links passed rezonings to projects (action_matter_id) and the parcel cache</t>
  </si>
  <si>
    <t>Generated</t>
  </si>
  <si>
    <t>2026-10-17 (windows end here)</t>
  </si>
  <si>
    <t>Before</t>
  </si>
  <si>
    <t>commit 45d5faf, dry run on the same cached permit pull; generated 2026-10-17</t>
  </si>
  <si>
    <t>After</t>
  </si>
  <si>
    <t>data/fixtures/snapshot.json; generated 2026-10-17</t>
  </si>
  <si>
    <t>Commit</t>
  </si>
  <si>
    <t>45d5faf plus uncommitted changes in 46 files</t>
  </si>
  <si>
    <t>Last 12 months (2025-10-17 to 2026-10-17)</t>
  </si>
  <si>
    <t>Chicago</t>
  </si>
  <si>
    <t>Change</t>
  </si>
  <si>
    <t>Gross units</t>
  </si>
  <si>
    <t>Lost units</t>
  </si>
  <si>
    <t>Net units</t>
  </si>
  <si>
    <t>Net per 1,000 existing units</t>
  </si>
  <si>
    <t>Counted projects</t>
  </si>
  <si>
    <t>Emergency units (shown, not counted)</t>
  </si>
  <si>
    <t>This term (2023-05-15 to 2026-10-17)</t>
  </si>
  <si>
    <t>Largest ward moves, this term</t>
  </si>
  <si>
    <t>Ward 11, Nicole T. Lee</t>
  </si>
  <si>
    <t>net +132 to +133</t>
  </si>
  <si>
    <t>rank 18 to 18</t>
  </si>
  <si>
    <t>Projects</t>
  </si>
  <si>
    <t>Count</t>
  </si>
  <si>
    <t>Changed (units, counted or kind)</t>
  </si>
  <si>
    <t>Regrouped (same address, permits regrouped)</t>
  </si>
  <si>
    <t>Removed (no longer a project)</t>
  </si>
  <si>
    <t>Added (a project only after)</t>
  </si>
  <si>
    <t>Notes</t>
  </si>
  <si>
    <t>Before and after are two runs of the same pipeline. When both use the same permit pull, every difference is the rule change. When the pull dates differ, projects marked added or removed on the Projects sheet may be new permits rather than rule effects; changed projects are always rule effects.</t>
  </si>
  <si>
    <t>Last 12 months and this term are the two windows the site opens on. Gross, lost, net and rate follow docs/METHODOLOGY.md: rate is net per 1,000 existing units, from Cook County Assessor parcels (the Existing units column).</t>
  </si>
  <si>
    <t>Ranks are the site's: by rate, ties broken on net, then gross. They are written as values because that tie-break has no spreadsheet formula. Everything else that is derived (changes, totals, rates) is a formula.</t>
  </si>
  <si>
    <t>A removed project is one the new rules no longer make a project at all, for example a demolition that turned out to be a garage or a smokestack. An added project is the reverse.</t>
  </si>
  <si>
    <t>Ward</t>
  </si>
  <si>
    <t>Alder</t>
  </si>
  <si>
    <t>Existing units (2020)</t>
  </si>
  <si>
    <t>Gross before</t>
  </si>
  <si>
    <t>Gross after</t>
  </si>
  <si>
    <t>Gross change</t>
  </si>
  <si>
    <t>Lost before</t>
  </si>
  <si>
    <t>Lost after</t>
  </si>
  <si>
    <t>Lost change</t>
  </si>
  <si>
    <t>Net before</t>
  </si>
  <si>
    <t>Net after</t>
  </si>
  <si>
    <t>Net change</t>
  </si>
  <si>
    <t>Rate before (net per 1,000)</t>
  </si>
  <si>
    <t>Rate after</t>
  </si>
  <si>
    <t>Rate change</t>
  </si>
  <si>
    <t>Counted projects before</t>
  </si>
  <si>
    <t>Counted projects after</t>
  </si>
  <si>
    <t>Rank before</t>
  </si>
  <si>
    <t>Rank after</t>
  </si>
  <si>
    <t>Rank move (+ = up)</t>
  </si>
  <si>
    <t>Emergency units before (not counted)</t>
  </si>
  <si>
    <t>Emergency units after</t>
  </si>
  <si>
    <t>Walter R. Burnett</t>
  </si>
  <si>
    <t>William Conway</t>
  </si>
  <si>
    <t>Jason C. Ervin</t>
  </si>
  <si>
    <t>Daniel La Spata</t>
  </si>
  <si>
    <t>Scott Waguespack</t>
  </si>
  <si>
    <t>Monique L. Scott</t>
  </si>
  <si>
    <t>Pat Dowell</t>
  </si>
  <si>
    <t>Jessica L. Fuentes</t>
  </si>
  <si>
    <t>Byron Sigcho-Lopez</t>
  </si>
  <si>
    <t>Angela Clay</t>
  </si>
  <si>
    <t>Leni Manaa-Hoppenworth</t>
  </si>
  <si>
    <t>Jeanette B. Taylor</t>
  </si>
  <si>
    <t>Brendan Reilly</t>
  </si>
  <si>
    <t>Jr., Andre Vasquez</t>
  </si>
  <si>
    <t>Lamont J. Robinson</t>
  </si>
  <si>
    <t>William E. Hall</t>
  </si>
  <si>
    <t>Bennett R. Lawson</t>
  </si>
  <si>
    <t>Julia M. Ramirez</t>
  </si>
  <si>
    <t>Nicole T. Lee</t>
  </si>
  <si>
    <t>Jeylu B. Gutierrez</t>
  </si>
  <si>
    <t>Emma Mitts</t>
  </si>
  <si>
    <t>Raymond A. Lopez</t>
  </si>
  <si>
    <t>Ronnie L. Mosley</t>
  </si>
  <si>
    <t>Gilbert Villegas</t>
  </si>
  <si>
    <t>Timothy R. Knudsen</t>
  </si>
  <si>
    <t>Anthony J. Quezada</t>
  </si>
  <si>
    <t>Rossana Rodriguez Sanchez</t>
  </si>
  <si>
    <t>Matthew J. Martin</t>
  </si>
  <si>
    <t>Nicholas Sposato</t>
  </si>
  <si>
    <t>Brian Hopkins</t>
  </si>
  <si>
    <t>Michael D. Rodriguez</t>
  </si>
  <si>
    <t>Anthony V. Napolitano</t>
  </si>
  <si>
    <t>James M. Gardiner</t>
  </si>
  <si>
    <t>Stephanie D. Coleman</t>
  </si>
  <si>
    <t>Gregory I. Mitchell</t>
  </si>
  <si>
    <t>Debra L. Silverstein</t>
  </si>
  <si>
    <t>Samantha Nugent</t>
  </si>
  <si>
    <t>Michelle A. Harris</t>
  </si>
  <si>
    <t>Chris Taliaferro</t>
  </si>
  <si>
    <t>David H. Moore</t>
  </si>
  <si>
    <t>Jr., Felix Cardona</t>
  </si>
  <si>
    <t>Maria E. Hadden</t>
  </si>
  <si>
    <t>Matthew J. O'Shea</t>
  </si>
  <si>
    <t>Anthony Beale</t>
  </si>
  <si>
    <t>Ruth Cruz</t>
  </si>
  <si>
    <t>Derrick G. Curtis</t>
  </si>
  <si>
    <t>Marty Quinn</t>
  </si>
  <si>
    <t>Peter Chico</t>
  </si>
  <si>
    <t>Silvana Tabares</t>
  </si>
  <si>
    <t>Desmon C. Yancy</t>
  </si>
  <si>
    <t/>
  </si>
  <si>
    <t>Status</t>
  </si>
  <si>
    <t>Address</t>
  </si>
  <si>
    <t>Kind</t>
  </si>
  <si>
    <t>Permit date</t>
  </si>
  <si>
    <t>Units before</t>
  </si>
  <si>
    <t>Units after</t>
  </si>
  <si>
    <t>Units change</t>
  </si>
  <si>
    <t>Counted before</t>
  </si>
  <si>
    <t>Counted after</t>
  </si>
  <si>
    <t>Flags before</t>
  </si>
  <si>
    <t>Flags after</t>
  </si>
  <si>
    <t>Permit</t>
  </si>
  <si>
    <t>Description</t>
  </si>
  <si>
    <t>changed</t>
  </si>
  <si>
    <t>3001 S QUINN ST</t>
  </si>
  <si>
    <t>new_construction</t>
  </si>
  <si>
    <t>2025-06-10</t>
  </si>
  <si>
    <t>yes</t>
  </si>
  <si>
    <t>replaces</t>
  </si>
  <si>
    <t>101061058</t>
  </si>
  <si>
    <t>SELF-CERT 2019 CBRC: FULL BUILDING PERMIT FOR 3 STORY (NO BASEMENT) SINGLE UNIT RESIDENCE. EXISTING GARAGE CONTAINING 2 PARKING SPACES TO REMAIN. STRUCTURAL PEE</t>
  </si>
  <si>
    <t>demolition</t>
  </si>
  <si>
    <t>2025-05-29</t>
  </si>
  <si>
    <t>no</t>
  </si>
  <si>
    <t>merged, assessor_units, summed_parcels</t>
  </si>
  <si>
    <t>not_counted, assessor_units</t>
  </si>
  <si>
    <t>B101066333</t>
  </si>
  <si>
    <t>WRECK AND REMOVE A 2 STORY FRAME RESIDENCE</t>
  </si>
  <si>
    <t>What changed</t>
  </si>
  <si>
    <t>Alder actions tab: the zoning stage links passed rezonings to projects (action_matter_id) and the parcel cache gains ward and lot lookups; no permit count or rank changes.</t>
  </si>
  <si>
    <t>Files</t>
  </si>
  <si>
    <t>.github/workflows/nightly-etl.yml |  21 ++++++-</t>
  </si>
  <si>
    <t xml:space="preserve"> .gitignore                        |   2 +</t>
  </si>
  <si>
    <t xml:space="preserve"> AGENTS.md                         |  23 ++++++-</t>
  </si>
  <si>
    <t xml:space="preserve"> README.md                         |  17 ++++--</t>
  </si>
  <si>
    <t xml:space="preserve"> app/page.tsx                      |  10 ++-</t>
  </si>
  <si>
    <t xml:space="preserve"> app/ward/[n]/page.tsx             |  35 ++++++++++-</t>
  </si>
  <si>
    <t xml:space="preserve"> components/ControlsForm.tsx       |  10 +--</t>
  </si>
  <si>
    <t xml:space="preserve"> components/MobileSort.tsx         |  23 +++----</t>
  </si>
  <si>
    <t xml:space="preserve"> components/RankingTable.tsx       |  20 +++---</t>
  </si>
  <si>
    <t xml:space="preserve"> components/WindowControls.tsx     |  11 ++--</t>
  </si>
  <si>
    <t xml:space="preserve"> docs/METHODOLOGY.md               |  75 +++++++++++++++++++++++</t>
  </si>
  <si>
    <t xml:space="preserve"> lib/data.ts                       |  42 +++++++++++--</t>
  </si>
  <si>
    <t xml:space="preserve"> lib/query.ts                      |  54 +++++++++++++----</t>
  </si>
  <si>
    <t xml:space="preserve"> package.json                      |   1 +</t>
  </si>
  <si>
    <t xml:space="preserve"> scripts/impact.ts                 |   4 +-</t>
  </si>
  <si>
    <t xml:space="preserve"> scripts/ingest-permits.ts         |  10 ++-</t>
  </si>
  <si>
    <t xml:space="preserve"> scripts/lib/parcels.ts            | 107 ++++++++++++++++++++++++++++++--</t>
  </si>
  <si>
    <t xml:space="preserve"> scripts/lib/projects.ts           |   3 +-</t>
  </si>
  <si>
    <t xml:space="preserve"> scripts/lib/types.ts              | 124 ++++++++++++++++++++++++++++++++++++++</t>
  </si>
  <si>
    <t xml:space="preserve"> tests/drift.test.ts               |   2 +-</t>
  </si>
  <si>
    <t xml:space="preserve"> tests/flags.test.ts               |   2 +-</t>
  </si>
  <si>
    <t xml:space="preserve"> tests/parcels.test.ts             |   6 +-</t>
  </si>
  <si>
    <t xml:space="preserve"> tests/rank.test.ts                |   5 ++</t>
  </si>
  <si>
    <t xml:space="preserve"> tests/select.test.ts              |   4 +-</t>
  </si>
  <si>
    <t xml:space="preserve"> 24 files changed, 535 insertions(+), 76 deletions(-)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</si>
</sst>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
    <numFmt numFmtId="165" formatCode="+#,##0;-#,##0;0"/>
    <numFmt numFmtId="166" formatCode="0.0;-0.0;0.0"/>
    <numFmt numFmtId="167" formatCode="+0.0;-0.0;0.0"/>
  </numFmts>
  <fonts count="6" x14ac:knownFonts="1">
    <font>
      <color theme="1"/>
      <family val="2"/>
      <scheme val="minor"/>
      <sz val="11"/>
      <name val="Calibri"/>
    </font>
    <font>
      <b/>
      <sz val="14"/>
      <name val="Arial"/>
    </font>
    <font>
      <b/>
      <sz val="10"/>
      <name val="Arial"/>
    </font>
    <font>
      <sz val="10"/>
      <name val="Arial"/>
    </font>
    <font>
      <b/>
      <sz val="12"/>
      <name val="Arial"/>
    </font>
    <font>
      <sz val="10"/>
      <name val="Courier New"/>
    </font>
  </fonts>
  <fills count="3">
    <fill>
      <patternFill patternType="none"/>
    </fill>
    <fill>
      <patternFill patternType="gray125"/>
    </fill>
    <fill>
      <patternFill patternType="solid">
        <fgColor rgb="FFE4E4E7"/>
      </patternFill>
    </fill>
  </fills>
  <borders count="3">
    <border>
      <left/>
      <right/>
      <top/>
      <bottom/>
      <diagonal/>
    </border>
    <border>
      <left/>
      <right/>
      <top/>
      <bottom style="thin">
        <color rgb="FFA1A1AA"/>
      </bottom>
      <diagonal/>
    </border>
    <border>
      <left/>
      <right/>
      <top style="thin">
        <color rgb="FFA1A1AA"/>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applyAlignment="1"/>
    <xf numFmtId="0" fontId="4" fillId="0" borderId="0" xfId="0" applyFont="1"/>
    <xf numFmtId="0" fontId="2" fillId="2" borderId="1" xfId="0" applyFont="1" applyFill="1" applyBorder="1" applyAlignment="1">
      <alignment vertical="center" wrapText="1"/>
    </xf>
    <xf numFmtId="0" fontId="3" fillId="0" borderId="0" xfId="0" applyFont="1"/>
    <xf numFmtId="164" fontId="3" fillId="0" borderId="0" xfId="0" applyNumberFormat="1" applyFont="1"/>
    <xf numFmtId="165" fontId="3" fillId="0" borderId="0" xfId="0" applyNumberFormat="1" applyFont="1"/>
    <xf numFmtId="166" fontId="3" fillId="0" borderId="0" xfId="0" applyNumberFormat="1" applyFont="1"/>
    <xf numFmtId="167" fontId="3" fillId="0" borderId="0" xfId="0" applyNumberFormat="1" applyFont="1"/>
    <xf numFmtId="0" fontId="3" fillId="0" borderId="0" xfId="0" applyFont="1" applyAlignment="1">
      <alignment vertical="top" wrapText="1"/>
    </xf>
    <xf numFmtId="0" fontId="2" fillId="0" borderId="2" xfId="0" applyFont="1" applyBorder="1"/>
    <xf numFmtId="164" fontId="2" fillId="0" borderId="2" xfId="0" applyNumberFormat="1" applyFont="1" applyBorder="1"/>
    <xf numFmtId="165" fontId="2" fillId="0" borderId="2" xfId="0" applyNumberFormat="1" applyFont="1" applyBorder="1"/>
    <xf numFmtId="166" fontId="2" fillId="0" borderId="2" xfId="0" applyNumberFormat="1" applyFont="1" applyBorder="1"/>
    <xf numFmtId="167" fontId="2" fillId="0" borderId="2" xfId="0" applyNumberFormat="1" applyFont="1" applyBorder="1"/>
    <xf numFmtId="0" fontId="5" fillId="0" borderId="0" xfId="0" applyFont="1"/>
  </cellXfs>
  <cellStyles count="1">
    <cellStyle name="Normal" xfId="0" builtinId="0"/>
  </cellStyles>
  <dxfs count="46">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workbookViewId="0" showGridLines="0"/>
  </sheetViews>
  <sheetFormatPr defaultRowHeight="15" outlineLevelRow="0" outlineLevelCol="0" x14ac:dyDescent="55"/>
  <cols>
    <col min="1" max="1" width="34" customWidth="1"/>
    <col min="2" max="4" width="16" customWidth="1"/>
  </cols>
  <sheetData>
    <row r="1" spans="1:1" x14ac:dyDescent="0.25">
      <c r="A1" s="1" t="s">
        <v>0</v>
      </c>
    </row>
    <row r="2" spans="1:2" x14ac:dyDescent="0.25">
      <c r="A2" s="2" t="s">
        <v>1</v>
      </c>
      <c r="B2" s="3" t="s">
        <v>2</v>
      </c>
    </row>
    <row r="3" spans="1:2" x14ac:dyDescent="0.25">
      <c r="A3" s="2" t="s">
        <v>3</v>
      </c>
      <c r="B3" s="3" t="s">
        <v>4</v>
      </c>
    </row>
    <row r="4" spans="1:2" x14ac:dyDescent="0.25">
      <c r="A4" s="2" t="s">
        <v>5</v>
      </c>
      <c r="B4" s="3" t="s">
        <v>6</v>
      </c>
    </row>
    <row r="5" spans="1:2" x14ac:dyDescent="0.25">
      <c r="A5" s="2" t="s">
        <v>7</v>
      </c>
      <c r="B5" s="3" t="s">
        <v>8</v>
      </c>
    </row>
    <row r="7" spans="1:1" x14ac:dyDescent="0.25">
      <c r="A7" s="4" t="s">
        <v>9</v>
      </c>
    </row>
    <row r="8" ht="30" customHeight="1" spans="1:4" x14ac:dyDescent="0.25">
      <c r="A8" s="5" t="s">
        <v>10</v>
      </c>
      <c r="B8" s="5" t="s">
        <v>3</v>
      </c>
      <c r="C8" s="5" t="s">
        <v>5</v>
      </c>
      <c r="D8" s="5" t="s">
        <v>11</v>
      </c>
    </row>
    <row r="9" spans="1:4" x14ac:dyDescent="0.25">
      <c r="A9" s="6" t="s">
        <v>12</v>
      </c>
      <c r="B9" s="7">
        <f>'Wards (last 12 months)'!D52</f>
        <v>4953</v>
      </c>
      <c r="C9" s="7">
        <f>'Wards (last 12 months)'!E52</f>
        <v>4953</v>
      </c>
      <c r="D9" s="8">
        <f>C9-B9</f>
        <v>0</v>
      </c>
    </row>
    <row r="10" spans="1:4" x14ac:dyDescent="0.25">
      <c r="A10" s="6" t="s">
        <v>13</v>
      </c>
      <c r="B10" s="7">
        <f>'Wards (last 12 months)'!G52</f>
        <v>628</v>
      </c>
      <c r="C10" s="7">
        <f>'Wards (last 12 months)'!H52</f>
        <v>628</v>
      </c>
      <c r="D10" s="8">
        <f>C10-B10</f>
        <v>0</v>
      </c>
    </row>
    <row r="11" spans="1:4" x14ac:dyDescent="0.25">
      <c r="A11" s="6" t="s">
        <v>14</v>
      </c>
      <c r="B11" s="7">
        <f>'Wards (last 12 months)'!J52</f>
        <v>4325</v>
      </c>
      <c r="C11" s="7">
        <f>'Wards (last 12 months)'!K52</f>
        <v>4325</v>
      </c>
      <c r="D11" s="8">
        <f>C11-B11</f>
        <v>0</v>
      </c>
    </row>
    <row r="12" spans="1:4" x14ac:dyDescent="0.25">
      <c r="A12" s="6" t="s">
        <v>15</v>
      </c>
      <c r="B12" s="9">
        <f>'Wards (last 12 months)'!M52</f>
        <v>3.337294360937066</v>
      </c>
      <c r="C12" s="9">
        <f>'Wards (last 12 months)'!N52</f>
        <v>3.337294360937066</v>
      </c>
      <c r="D12" s="10">
        <f>C12-B12</f>
        <v>0</v>
      </c>
    </row>
    <row r="13" spans="1:4" x14ac:dyDescent="0.25">
      <c r="A13" s="6" t="s">
        <v>16</v>
      </c>
      <c r="B13" s="7">
        <f>'Wards (last 12 months)'!P52</f>
        <v>1138</v>
      </c>
      <c r="C13" s="7">
        <f>'Wards (last 12 months)'!Q52</f>
        <v>1138</v>
      </c>
      <c r="D13" s="8">
        <f>C13-B13</f>
        <v>0</v>
      </c>
    </row>
    <row r="14" spans="1:4" x14ac:dyDescent="0.25">
      <c r="A14" s="6" t="s">
        <v>17</v>
      </c>
      <c r="B14" s="7">
        <f>'Wards (last 12 months)'!U52</f>
        <v>246</v>
      </c>
      <c r="C14" s="7">
        <f>'Wards (last 12 months)'!V52</f>
        <v>246</v>
      </c>
      <c r="D14" s="8">
        <f>C14-B14</f>
        <v>0</v>
      </c>
    </row>
    <row r="16" spans="1:1" x14ac:dyDescent="0.25">
      <c r="A16" s="4" t="s">
        <v>18</v>
      </c>
    </row>
    <row r="17" ht="30" customHeight="1" spans="1:4" x14ac:dyDescent="0.25">
      <c r="A17" s="5" t="s">
        <v>10</v>
      </c>
      <c r="B17" s="5" t="s">
        <v>3</v>
      </c>
      <c r="C17" s="5" t="s">
        <v>5</v>
      </c>
      <c r="D17" s="5" t="s">
        <v>11</v>
      </c>
    </row>
    <row r="18" spans="1:4" x14ac:dyDescent="0.25">
      <c r="A18" s="6" t="s">
        <v>12</v>
      </c>
      <c r="B18" s="7">
        <f>'Wards (this term)'!D52</f>
        <v>15553</v>
      </c>
      <c r="C18" s="7">
        <f>'Wards (this term)'!E52</f>
        <v>15553</v>
      </c>
      <c r="D18" s="8">
        <f>C18-B18</f>
        <v>0</v>
      </c>
    </row>
    <row r="19" spans="1:4" x14ac:dyDescent="0.25">
      <c r="A19" s="6" t="s">
        <v>13</v>
      </c>
      <c r="B19" s="7">
        <f>'Wards (this term)'!G52</f>
        <v>2076</v>
      </c>
      <c r="C19" s="7">
        <f>'Wards (this term)'!H52</f>
        <v>2075</v>
      </c>
      <c r="D19" s="8">
        <f>C19-B19</f>
        <v>-1</v>
      </c>
    </row>
    <row r="20" spans="1:4" x14ac:dyDescent="0.25">
      <c r="A20" s="6" t="s">
        <v>14</v>
      </c>
      <c r="B20" s="7">
        <f>'Wards (this term)'!J52</f>
        <v>13477</v>
      </c>
      <c r="C20" s="7">
        <f>'Wards (this term)'!K52</f>
        <v>13478</v>
      </c>
      <c r="D20" s="8">
        <f>C20-B20</f>
        <v>1</v>
      </c>
    </row>
    <row r="21" spans="1:4" x14ac:dyDescent="0.25">
      <c r="A21" s="6" t="s">
        <v>15</v>
      </c>
      <c r="B21" s="9">
        <f>'Wards (this term)'!M52</f>
        <v>10.39924071730609</v>
      </c>
      <c r="C21" s="9">
        <f>'Wards (this term)'!N52</f>
        <v>10.400012346060064</v>
      </c>
      <c r="D21" s="10">
        <f>C21-B21</f>
        <v>0.00077162875397363</v>
      </c>
    </row>
    <row r="22" spans="1:4" x14ac:dyDescent="0.25">
      <c r="A22" s="6" t="s">
        <v>16</v>
      </c>
      <c r="B22" s="7">
        <f>'Wards (this term)'!P52</f>
        <v>3649</v>
      </c>
      <c r="C22" s="7">
        <f>'Wards (this term)'!Q52</f>
        <v>3649</v>
      </c>
      <c r="D22" s="8">
        <f>C22-B22</f>
        <v>0</v>
      </c>
    </row>
    <row r="23" spans="1:4" x14ac:dyDescent="0.25">
      <c r="A23" s="6" t="s">
        <v>17</v>
      </c>
      <c r="B23" s="7">
        <f>'Wards (this term)'!U52</f>
        <v>767</v>
      </c>
      <c r="C23" s="7">
        <f>'Wards (this term)'!V52</f>
        <v>767</v>
      </c>
      <c r="D23" s="8">
        <f>C23-B23</f>
        <v>0</v>
      </c>
    </row>
    <row r="24" spans="1:1" x14ac:dyDescent="0.25">
      <c r="A24" s="2" t="s">
        <v>19</v>
      </c>
    </row>
    <row r="25" spans="1:3" x14ac:dyDescent="0.25">
      <c r="A25" s="6" t="s">
        <v>20</v>
      </c>
      <c r="B25" s="6" t="s">
        <v>21</v>
      </c>
      <c r="C25" s="6" t="s">
        <v>22</v>
      </c>
    </row>
    <row r="27" ht="30" customHeight="1" spans="1:2" x14ac:dyDescent="0.25">
      <c r="A27" s="5" t="s">
        <v>23</v>
      </c>
      <c r="B27" s="5" t="s">
        <v>24</v>
      </c>
    </row>
    <row r="28" spans="1:2" x14ac:dyDescent="0.25">
      <c r="A28" s="6" t="s">
        <v>25</v>
      </c>
      <c r="B28" s="7">
        <f>COUNTIF(Projects!A:A,"changed")</f>
        <v>2</v>
      </c>
    </row>
    <row r="29" spans="1:2" x14ac:dyDescent="0.25">
      <c r="A29" s="6" t="s">
        <v>26</v>
      </c>
      <c r="B29" s="7">
        <f>COUNTIF(Projects!A:A,"regrouped")</f>
        <v>0</v>
      </c>
    </row>
    <row r="30" spans="1:2" x14ac:dyDescent="0.25">
      <c r="A30" s="6" t="s">
        <v>27</v>
      </c>
      <c r="B30" s="7">
        <f>COUNTIF(Projects!A:A,"removed")</f>
        <v>0</v>
      </c>
    </row>
    <row r="31" spans="1:2" x14ac:dyDescent="0.25">
      <c r="A31" s="6" t="s">
        <v>28</v>
      </c>
      <c r="B31" s="7">
        <f>COUNTIF(Projects!A:A,"added")</f>
        <v>0</v>
      </c>
    </row>
    <row r="33" spans="1:1" x14ac:dyDescent="0.25">
      <c r="A33" s="2" t="s">
        <v>29</v>
      </c>
    </row>
    <row r="34" ht="56" customHeight="1" spans="1:4" x14ac:dyDescent="0.25">
      <c r="A34" s="11" t="s">
        <v>30</v>
      </c>
      <c r="B34" s="11"/>
      <c r="C34" s="11"/>
      <c r="D34" s="11"/>
    </row>
    <row r="35" ht="42" customHeight="1" spans="1:4" x14ac:dyDescent="0.25">
      <c r="A35" s="11" t="s">
        <v>31</v>
      </c>
      <c r="B35" s="11"/>
      <c r="C35" s="11"/>
      <c r="D35" s="11"/>
    </row>
    <row r="36" ht="42" customHeight="1" spans="1:4" x14ac:dyDescent="0.25">
      <c r="A36" s="11" t="s">
        <v>32</v>
      </c>
      <c r="B36" s="11"/>
      <c r="C36" s="11"/>
      <c r="D36" s="11"/>
    </row>
    <row r="37" ht="28" customHeight="1" spans="1:4" x14ac:dyDescent="0.25">
      <c r="A37" s="11" t="s">
        <v>33</v>
      </c>
      <c r="B37" s="11"/>
      <c r="C37" s="11"/>
      <c r="D37" s="11"/>
    </row>
  </sheetData>
  <mergeCells count="4">
    <mergeCell ref="A34:D34"/>
    <mergeCell ref="A35:D35"/>
    <mergeCell ref="A36:D36"/>
    <mergeCell ref="A37:D37"/>
  </mergeCells>
  <conditionalFormatting sqref="D9:D9">
    <cfRule type="cellIs" dxfId="0" priority="1" operator="greaterThan">
      <formula>0</formula>
    </cfRule>
    <cfRule type="cellIs" dxfId="1" priority="2" operator="lessThan">
      <formula>0</formula>
    </cfRule>
  </conditionalFormatting>
  <conditionalFormatting sqref="D10:D10">
    <cfRule type="cellIs" dxfId="2" priority="1" operator="greaterThan">
      <formula>0</formula>
    </cfRule>
    <cfRule type="cellIs" dxfId="3" priority="2" operator="lessThan">
      <formula>0</formula>
    </cfRule>
  </conditionalFormatting>
  <conditionalFormatting sqref="D11:D11">
    <cfRule type="cellIs" dxfId="4" priority="1" operator="greaterThan">
      <formula>0</formula>
    </cfRule>
    <cfRule type="cellIs" dxfId="5" priority="2" operator="lessThan">
      <formula>0</formula>
    </cfRule>
  </conditionalFormatting>
  <conditionalFormatting sqref="D12:D12">
    <cfRule type="cellIs" dxfId="6" priority="1" operator="greaterThan">
      <formula>0</formula>
    </cfRule>
    <cfRule type="cellIs" dxfId="7" priority="2" operator="lessThan">
      <formula>0</formula>
    </cfRule>
  </conditionalFormatting>
  <conditionalFormatting sqref="D13:D13">
    <cfRule type="cellIs" dxfId="8" priority="1" operator="greaterThan">
      <formula>0</formula>
    </cfRule>
    <cfRule type="cellIs" dxfId="9" priority="2" operator="lessThan">
      <formula>0</formula>
    </cfRule>
  </conditionalFormatting>
  <conditionalFormatting sqref="D14:D14">
    <cfRule type="cellIs" dxfId="10" priority="1" operator="greaterThan">
      <formula>0</formula>
    </cfRule>
    <cfRule type="cellIs" dxfId="11" priority="2" operator="lessThan">
      <formula>0</formula>
    </cfRule>
  </conditionalFormatting>
  <conditionalFormatting sqref="D18:D18">
    <cfRule type="cellIs" dxfId="12" priority="1" operator="greaterThan">
      <formula>0</formula>
    </cfRule>
    <cfRule type="cellIs" dxfId="13" priority="2" operator="lessThan">
      <formula>0</formula>
    </cfRule>
  </conditionalFormatting>
  <conditionalFormatting sqref="D19:D19">
    <cfRule type="cellIs" dxfId="14" priority="1" operator="greaterThan">
      <formula>0</formula>
    </cfRule>
    <cfRule type="cellIs" dxfId="15" priority="2" operator="lessThan">
      <formula>0</formula>
    </cfRule>
  </conditionalFormatting>
  <conditionalFormatting sqref="D20:D20">
    <cfRule type="cellIs" dxfId="16" priority="1" operator="greaterThan">
      <formula>0</formula>
    </cfRule>
    <cfRule type="cellIs" dxfId="17" priority="2" operator="lessThan">
      <formula>0</formula>
    </cfRule>
  </conditionalFormatting>
  <conditionalFormatting sqref="D21:D21">
    <cfRule type="cellIs" dxfId="18" priority="1" operator="greaterThan">
      <formula>0</formula>
    </cfRule>
    <cfRule type="cellIs" dxfId="19" priority="2" operator="lessThan">
      <formula>0</formula>
    </cfRule>
  </conditionalFormatting>
  <conditionalFormatting sqref="D22:D22">
    <cfRule type="cellIs" dxfId="20" priority="1" operator="greaterThan">
      <formula>0</formula>
    </cfRule>
    <cfRule type="cellIs" dxfId="21" priority="2" operator="lessThan">
      <formula>0</formula>
    </cfRule>
  </conditionalFormatting>
  <conditionalFormatting sqref="D23:D23">
    <cfRule type="cellIs" dxfId="22" priority="1" operator="greaterThan">
      <formula>0</formula>
    </cfRule>
    <cfRule type="cellIs" dxfId="23" priority="2" operator="lessThan">
      <formula>0</formula>
    </cfRule>
  </conditionalFormatting>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2"/>
  <sheetViews>
    <sheetView workbookViewId="0">
      <pane xSplit="2" ySplit="1" topLeftCell="C2" activePane="bottomRight" state="frozen"/>
      <selection pane="bottomRight"/>
    </sheetView>
  </sheetViews>
  <sheetFormatPr defaultRowHeight="15" outlineLevelRow="0" outlineLevelCol="0" x14ac:dyDescent="55"/>
  <cols>
    <col min="1" max="1" width="7" customWidth="1"/>
    <col min="2" max="2" width="24" customWidth="1"/>
    <col min="3" max="22" width="12" customWidth="1"/>
  </cols>
  <sheetData>
    <row r="1" ht="30" customHeight="1" spans="1:22" x14ac:dyDescent="0.25">
      <c r="A1" s="5" t="s">
        <v>34</v>
      </c>
      <c r="B1" s="5" t="s">
        <v>35</v>
      </c>
      <c r="C1" s="5" t="s">
        <v>36</v>
      </c>
      <c r="D1" s="5" t="s">
        <v>37</v>
      </c>
      <c r="E1" s="5" t="s">
        <v>38</v>
      </c>
      <c r="F1" s="5" t="s">
        <v>39</v>
      </c>
      <c r="G1" s="5" t="s">
        <v>40</v>
      </c>
      <c r="H1" s="5" t="s">
        <v>41</v>
      </c>
      <c r="I1" s="5" t="s">
        <v>42</v>
      </c>
      <c r="J1" s="5" t="s">
        <v>43</v>
      </c>
      <c r="K1" s="5" t="s">
        <v>44</v>
      </c>
      <c r="L1" s="5" t="s">
        <v>45</v>
      </c>
      <c r="M1" s="5" t="s">
        <v>46</v>
      </c>
      <c r="N1" s="5" t="s">
        <v>47</v>
      </c>
      <c r="O1" s="5" t="s">
        <v>48</v>
      </c>
      <c r="P1" s="5" t="s">
        <v>49</v>
      </c>
      <c r="Q1" s="5" t="s">
        <v>50</v>
      </c>
      <c r="R1" s="5" t="s">
        <v>51</v>
      </c>
      <c r="S1" s="5" t="s">
        <v>52</v>
      </c>
      <c r="T1" s="5" t="s">
        <v>53</v>
      </c>
      <c r="U1" s="5" t="s">
        <v>54</v>
      </c>
      <c r="V1" s="5" t="s">
        <v>55</v>
      </c>
    </row>
    <row r="2" spans="1:22" x14ac:dyDescent="0.25">
      <c r="A2" s="6">
        <v>27</v>
      </c>
      <c r="B2" s="6" t="s">
        <v>56</v>
      </c>
      <c r="C2" s="7">
        <v>33867</v>
      </c>
      <c r="D2" s="7">
        <v>725</v>
      </c>
      <c r="E2" s="7">
        <v>725</v>
      </c>
      <c r="F2" s="8">
        <f>E2-D2</f>
        <v>0</v>
      </c>
      <c r="G2" s="7">
        <v>25</v>
      </c>
      <c r="H2" s="7">
        <v>25</v>
      </c>
      <c r="I2" s="8">
        <f>H2-G2</f>
        <v>0</v>
      </c>
      <c r="J2" s="7">
        <v>700</v>
      </c>
      <c r="K2" s="7">
        <v>700</v>
      </c>
      <c r="L2" s="8">
        <f>K2-J2</f>
        <v>0</v>
      </c>
      <c r="M2" s="9">
        <f>IF(C2&gt;0,J2/C2*1000,"")</f>
        <v>20.669087902678122</v>
      </c>
      <c r="N2" s="9">
        <f>IF(C2&gt;0,K2/C2*1000,"")</f>
        <v>20.669087902678122</v>
      </c>
      <c r="O2" s="10">
        <f>IF(OR(M2="",N2=""),"",N2-M2)</f>
        <v>0</v>
      </c>
      <c r="P2" s="7">
        <v>68</v>
      </c>
      <c r="Q2" s="7">
        <v>68</v>
      </c>
      <c r="R2" s="7">
        <v>1</v>
      </c>
      <c r="S2" s="7">
        <v>1</v>
      </c>
      <c r="T2" s="8">
        <f>R2-S2</f>
        <v>0</v>
      </c>
      <c r="U2" s="7">
        <v>7</v>
      </c>
      <c r="V2" s="7">
        <v>7</v>
      </c>
    </row>
    <row r="3" spans="1:22" x14ac:dyDescent="0.25">
      <c r="A3" s="6">
        <v>34</v>
      </c>
      <c r="B3" s="6" t="s">
        <v>57</v>
      </c>
      <c r="C3" s="7">
        <v>42742</v>
      </c>
      <c r="D3" s="7">
        <v>682</v>
      </c>
      <c r="E3" s="7">
        <v>682</v>
      </c>
      <c r="F3" s="8">
        <f>E3-D3</f>
        <v>0</v>
      </c>
      <c r="G3" s="7">
        <v>1</v>
      </c>
      <c r="H3" s="7">
        <v>1</v>
      </c>
      <c r="I3" s="8">
        <f>H3-G3</f>
        <v>0</v>
      </c>
      <c r="J3" s="7">
        <v>681</v>
      </c>
      <c r="K3" s="7">
        <v>681</v>
      </c>
      <c r="L3" s="8">
        <f>K3-J3</f>
        <v>0</v>
      </c>
      <c r="M3" s="9">
        <f>IF(C3&gt;0,J3/C3*1000,"")</f>
        <v>15.932806139160546</v>
      </c>
      <c r="N3" s="9">
        <f>IF(C3&gt;0,K3/C3*1000,"")</f>
        <v>15.932806139160546</v>
      </c>
      <c r="O3" s="10">
        <f>IF(OR(M3="",N3=""),"",N3-M3)</f>
        <v>0</v>
      </c>
      <c r="P3" s="7">
        <v>6</v>
      </c>
      <c r="Q3" s="7">
        <v>6</v>
      </c>
      <c r="R3" s="7">
        <v>2</v>
      </c>
      <c r="S3" s="7">
        <v>2</v>
      </c>
      <c r="T3" s="8">
        <f>R3-S3</f>
        <v>0</v>
      </c>
      <c r="U3" s="7">
        <v>0</v>
      </c>
      <c r="V3" s="7">
        <v>0</v>
      </c>
    </row>
    <row r="4" spans="1:22" x14ac:dyDescent="0.25">
      <c r="A4" s="6">
        <v>28</v>
      </c>
      <c r="B4" s="6" t="s">
        <v>58</v>
      </c>
      <c r="C4" s="7">
        <v>23699</v>
      </c>
      <c r="D4" s="7">
        <v>311</v>
      </c>
      <c r="E4" s="7">
        <v>311</v>
      </c>
      <c r="F4" s="8">
        <f>E4-D4</f>
        <v>0</v>
      </c>
      <c r="G4" s="7">
        <v>2</v>
      </c>
      <c r="H4" s="7">
        <v>2</v>
      </c>
      <c r="I4" s="8">
        <f>H4-G4</f>
        <v>0</v>
      </c>
      <c r="J4" s="7">
        <v>309</v>
      </c>
      <c r="K4" s="7">
        <v>309</v>
      </c>
      <c r="L4" s="8">
        <f>K4-J4</f>
        <v>0</v>
      </c>
      <c r="M4" s="9">
        <f>IF(C4&gt;0,J4/C4*1000,"")</f>
        <v>13.038524832271404</v>
      </c>
      <c r="N4" s="9">
        <f>IF(C4&gt;0,K4/C4*1000,"")</f>
        <v>13.038524832271404</v>
      </c>
      <c r="O4" s="10">
        <f>IF(OR(M4="",N4=""),"",N4-M4)</f>
        <v>0</v>
      </c>
      <c r="P4" s="7">
        <v>59</v>
      </c>
      <c r="Q4" s="7">
        <v>59</v>
      </c>
      <c r="R4" s="7">
        <v>3</v>
      </c>
      <c r="S4" s="7">
        <v>3</v>
      </c>
      <c r="T4" s="8">
        <f>R4-S4</f>
        <v>0</v>
      </c>
      <c r="U4" s="7">
        <v>13</v>
      </c>
      <c r="V4" s="7">
        <v>13</v>
      </c>
    </row>
    <row r="5" spans="1:22" x14ac:dyDescent="0.25">
      <c r="A5" s="6">
        <v>1</v>
      </c>
      <c r="B5" s="6" t="s">
        <v>59</v>
      </c>
      <c r="C5" s="7">
        <v>31159</v>
      </c>
      <c r="D5" s="7">
        <v>397</v>
      </c>
      <c r="E5" s="7">
        <v>397</v>
      </c>
      <c r="F5" s="8">
        <f>E5-D5</f>
        <v>0</v>
      </c>
      <c r="G5" s="7">
        <v>34</v>
      </c>
      <c r="H5" s="7">
        <v>34</v>
      </c>
      <c r="I5" s="8">
        <f>H5-G5</f>
        <v>0</v>
      </c>
      <c r="J5" s="7">
        <v>363</v>
      </c>
      <c r="K5" s="7">
        <v>363</v>
      </c>
      <c r="L5" s="8">
        <f>K5-J5</f>
        <v>0</v>
      </c>
      <c r="M5" s="9">
        <f>IF(C5&gt;0,J5/C5*1000,"")</f>
        <v>11.64992458037806</v>
      </c>
      <c r="N5" s="9">
        <f>IF(C5&gt;0,K5/C5*1000,"")</f>
        <v>11.64992458037806</v>
      </c>
      <c r="O5" s="10">
        <f>IF(OR(M5="",N5=""),"",N5-M5)</f>
        <v>0</v>
      </c>
      <c r="P5" s="7">
        <v>66</v>
      </c>
      <c r="Q5" s="7">
        <v>66</v>
      </c>
      <c r="R5" s="7">
        <v>4</v>
      </c>
      <c r="S5" s="7">
        <v>4</v>
      </c>
      <c r="T5" s="8">
        <f>R5-S5</f>
        <v>0</v>
      </c>
      <c r="U5" s="7">
        <v>0</v>
      </c>
      <c r="V5" s="7">
        <v>0</v>
      </c>
    </row>
    <row r="6" spans="1:22" x14ac:dyDescent="0.25">
      <c r="A6" s="6">
        <v>32</v>
      </c>
      <c r="B6" s="6" t="s">
        <v>60</v>
      </c>
      <c r="C6" s="7">
        <v>27933</v>
      </c>
      <c r="D6" s="7">
        <v>334</v>
      </c>
      <c r="E6" s="7">
        <v>334</v>
      </c>
      <c r="F6" s="8">
        <f>E6-D6</f>
        <v>0</v>
      </c>
      <c r="G6" s="7">
        <v>98</v>
      </c>
      <c r="H6" s="7">
        <v>98</v>
      </c>
      <c r="I6" s="8">
        <f>H6-G6</f>
        <v>0</v>
      </c>
      <c r="J6" s="7">
        <v>236</v>
      </c>
      <c r="K6" s="7">
        <v>236</v>
      </c>
      <c r="L6" s="8">
        <f>K6-J6</f>
        <v>0</v>
      </c>
      <c r="M6" s="9">
        <f>IF(C6&gt;0,J6/C6*1000,"")</f>
        <v>8.44878817169656</v>
      </c>
      <c r="N6" s="9">
        <f>IF(C6&gt;0,K6/C6*1000,"")</f>
        <v>8.44878817169656</v>
      </c>
      <c r="O6" s="10">
        <f>IF(OR(M6="",N6=""),"",N6-M6)</f>
        <v>0</v>
      </c>
      <c r="P6" s="7">
        <v>85</v>
      </c>
      <c r="Q6" s="7">
        <v>85</v>
      </c>
      <c r="R6" s="7">
        <v>5</v>
      </c>
      <c r="S6" s="7">
        <v>5</v>
      </c>
      <c r="T6" s="8">
        <f>R6-S6</f>
        <v>0</v>
      </c>
      <c r="U6" s="7">
        <v>0</v>
      </c>
      <c r="V6" s="7">
        <v>0</v>
      </c>
    </row>
    <row r="7" spans="1:22" x14ac:dyDescent="0.25">
      <c r="A7" s="6">
        <v>24</v>
      </c>
      <c r="B7" s="6" t="s">
        <v>61</v>
      </c>
      <c r="C7" s="7">
        <v>18790</v>
      </c>
      <c r="D7" s="7">
        <v>153</v>
      </c>
      <c r="E7" s="7">
        <v>153</v>
      </c>
      <c r="F7" s="8">
        <f>E7-D7</f>
        <v>0</v>
      </c>
      <c r="G7" s="7">
        <v>6</v>
      </c>
      <c r="H7" s="7">
        <v>6</v>
      </c>
      <c r="I7" s="8">
        <f>H7-G7</f>
        <v>0</v>
      </c>
      <c r="J7" s="7">
        <v>147</v>
      </c>
      <c r="K7" s="7">
        <v>147</v>
      </c>
      <c r="L7" s="8">
        <f>K7-J7</f>
        <v>0</v>
      </c>
      <c r="M7" s="9">
        <f>IF(C7&gt;0,J7/C7*1000,"")</f>
        <v>7.823310271420969</v>
      </c>
      <c r="N7" s="9">
        <f>IF(C7&gt;0,K7/C7*1000,"")</f>
        <v>7.823310271420969</v>
      </c>
      <c r="O7" s="10">
        <f>IF(OR(M7="",N7=""),"",N7-M7)</f>
        <v>0</v>
      </c>
      <c r="P7" s="7">
        <v>60</v>
      </c>
      <c r="Q7" s="7">
        <v>60</v>
      </c>
      <c r="R7" s="7">
        <v>6</v>
      </c>
      <c r="S7" s="7">
        <v>6</v>
      </c>
      <c r="T7" s="8">
        <f>R7-S7</f>
        <v>0</v>
      </c>
      <c r="U7" s="7">
        <v>15</v>
      </c>
      <c r="V7" s="7">
        <v>15</v>
      </c>
    </row>
    <row r="8" spans="1:22" x14ac:dyDescent="0.25">
      <c r="A8" s="6">
        <v>3</v>
      </c>
      <c r="B8" s="6" t="s">
        <v>62</v>
      </c>
      <c r="C8" s="7">
        <v>33194</v>
      </c>
      <c r="D8" s="7">
        <v>247</v>
      </c>
      <c r="E8" s="7">
        <v>247</v>
      </c>
      <c r="F8" s="8">
        <f>E8-D8</f>
        <v>0</v>
      </c>
      <c r="G8" s="7">
        <v>0</v>
      </c>
      <c r="H8" s="7">
        <v>0</v>
      </c>
      <c r="I8" s="8">
        <f>H8-G8</f>
        <v>0</v>
      </c>
      <c r="J8" s="7">
        <v>247</v>
      </c>
      <c r="K8" s="7">
        <v>247</v>
      </c>
      <c r="L8" s="8">
        <f>K8-J8</f>
        <v>0</v>
      </c>
      <c r="M8" s="9">
        <f>IF(C8&gt;0,J8/C8*1000,"")</f>
        <v>7.441103813942279</v>
      </c>
      <c r="N8" s="9">
        <f>IF(C8&gt;0,K8/C8*1000,"")</f>
        <v>7.441103813942279</v>
      </c>
      <c r="O8" s="10">
        <f>IF(OR(M8="",N8=""),"",N8-M8)</f>
        <v>0</v>
      </c>
      <c r="P8" s="7">
        <v>37</v>
      </c>
      <c r="Q8" s="7">
        <v>37</v>
      </c>
      <c r="R8" s="7">
        <v>7</v>
      </c>
      <c r="S8" s="7">
        <v>7</v>
      </c>
      <c r="T8" s="8">
        <f>R8-S8</f>
        <v>0</v>
      </c>
      <c r="U8" s="7">
        <v>2</v>
      </c>
      <c r="V8" s="7">
        <v>2</v>
      </c>
    </row>
    <row r="9" spans="1:22" x14ac:dyDescent="0.25">
      <c r="A9" s="6">
        <v>26</v>
      </c>
      <c r="B9" s="6" t="s">
        <v>63</v>
      </c>
      <c r="C9" s="7">
        <v>20670</v>
      </c>
      <c r="D9" s="7">
        <v>158</v>
      </c>
      <c r="E9" s="7">
        <v>158</v>
      </c>
      <c r="F9" s="8">
        <f>E9-D9</f>
        <v>0</v>
      </c>
      <c r="G9" s="7">
        <v>13</v>
      </c>
      <c r="H9" s="7">
        <v>13</v>
      </c>
      <c r="I9" s="8">
        <f>H9-G9</f>
        <v>0</v>
      </c>
      <c r="J9" s="7">
        <v>145</v>
      </c>
      <c r="K9" s="7">
        <v>145</v>
      </c>
      <c r="L9" s="8">
        <f>K9-J9</f>
        <v>0</v>
      </c>
      <c r="M9" s="9">
        <f>IF(C9&gt;0,J9/C9*1000,"")</f>
        <v>7.014997581035317</v>
      </c>
      <c r="N9" s="9">
        <f>IF(C9&gt;0,K9/C9*1000,"")</f>
        <v>7.014997581035317</v>
      </c>
      <c r="O9" s="10">
        <f>IF(OR(M9="",N9=""),"",N9-M9)</f>
        <v>0</v>
      </c>
      <c r="P9" s="7">
        <v>32</v>
      </c>
      <c r="Q9" s="7">
        <v>32</v>
      </c>
      <c r="R9" s="7">
        <v>8</v>
      </c>
      <c r="S9" s="7">
        <v>8</v>
      </c>
      <c r="T9" s="8">
        <f>R9-S9</f>
        <v>0</v>
      </c>
      <c r="U9" s="7">
        <v>0</v>
      </c>
      <c r="V9" s="7">
        <v>0</v>
      </c>
    </row>
    <row r="10" spans="1:22" x14ac:dyDescent="0.25">
      <c r="A10" s="6">
        <v>25</v>
      </c>
      <c r="B10" s="6" t="s">
        <v>64</v>
      </c>
      <c r="C10" s="7">
        <v>19836</v>
      </c>
      <c r="D10" s="7">
        <v>123</v>
      </c>
      <c r="E10" s="7">
        <v>123</v>
      </c>
      <c r="F10" s="8">
        <f>E10-D10</f>
        <v>0</v>
      </c>
      <c r="G10" s="7">
        <v>8</v>
      </c>
      <c r="H10" s="7">
        <v>8</v>
      </c>
      <c r="I10" s="8">
        <f>H10-G10</f>
        <v>0</v>
      </c>
      <c r="J10" s="7">
        <v>115</v>
      </c>
      <c r="K10" s="7">
        <v>115</v>
      </c>
      <c r="L10" s="8">
        <f>K10-J10</f>
        <v>0</v>
      </c>
      <c r="M10" s="9">
        <f>IF(C10&gt;0,J10/C10*1000,"")</f>
        <v>5.797539826577939</v>
      </c>
      <c r="N10" s="9">
        <f>IF(C10&gt;0,K10/C10*1000,"")</f>
        <v>5.797539826577939</v>
      </c>
      <c r="O10" s="10">
        <f>IF(OR(M10="",N10=""),"",N10-M10)</f>
        <v>0</v>
      </c>
      <c r="P10" s="7">
        <v>40</v>
      </c>
      <c r="Q10" s="7">
        <v>40</v>
      </c>
      <c r="R10" s="7">
        <v>9</v>
      </c>
      <c r="S10" s="7">
        <v>9</v>
      </c>
      <c r="T10" s="8">
        <f>R10-S10</f>
        <v>0</v>
      </c>
      <c r="U10" s="7">
        <v>0</v>
      </c>
      <c r="V10" s="7">
        <v>0</v>
      </c>
    </row>
    <row r="11" spans="1:22" x14ac:dyDescent="0.25">
      <c r="A11" s="6">
        <v>46</v>
      </c>
      <c r="B11" s="6" t="s">
        <v>65</v>
      </c>
      <c r="C11" s="7">
        <v>36269</v>
      </c>
      <c r="D11" s="7">
        <v>192</v>
      </c>
      <c r="E11" s="7">
        <v>192</v>
      </c>
      <c r="F11" s="8">
        <f>E11-D11</f>
        <v>0</v>
      </c>
      <c r="G11" s="7">
        <v>9</v>
      </c>
      <c r="H11" s="7">
        <v>9</v>
      </c>
      <c r="I11" s="8">
        <f>H11-G11</f>
        <v>0</v>
      </c>
      <c r="J11" s="7">
        <v>183</v>
      </c>
      <c r="K11" s="7">
        <v>183</v>
      </c>
      <c r="L11" s="8">
        <f>K11-J11</f>
        <v>0</v>
      </c>
      <c r="M11" s="9">
        <f>IF(C11&gt;0,J11/C11*1000,"")</f>
        <v>5.045631255342028</v>
      </c>
      <c r="N11" s="9">
        <f>IF(C11&gt;0,K11/C11*1000,"")</f>
        <v>5.045631255342028</v>
      </c>
      <c r="O11" s="10">
        <f>IF(OR(M11="",N11=""),"",N11-M11)</f>
        <v>0</v>
      </c>
      <c r="P11" s="7">
        <v>14</v>
      </c>
      <c r="Q11" s="7">
        <v>14</v>
      </c>
      <c r="R11" s="7">
        <v>10</v>
      </c>
      <c r="S11" s="7">
        <v>10</v>
      </c>
      <c r="T11" s="8">
        <f>R11-S11</f>
        <v>0</v>
      </c>
      <c r="U11" s="7">
        <v>0</v>
      </c>
      <c r="V11" s="7">
        <v>0</v>
      </c>
    </row>
    <row r="12" spans="1:22" x14ac:dyDescent="0.25">
      <c r="A12" s="6">
        <v>48</v>
      </c>
      <c r="B12" s="6" t="s">
        <v>66</v>
      </c>
      <c r="C12" s="7">
        <v>33333</v>
      </c>
      <c r="D12" s="7">
        <v>153</v>
      </c>
      <c r="E12" s="7">
        <v>153</v>
      </c>
      <c r="F12" s="8">
        <f>E12-D12</f>
        <v>0</v>
      </c>
      <c r="G12" s="7">
        <v>2</v>
      </c>
      <c r="H12" s="7">
        <v>2</v>
      </c>
      <c r="I12" s="8">
        <f>H12-G12</f>
        <v>0</v>
      </c>
      <c r="J12" s="7">
        <v>151</v>
      </c>
      <c r="K12" s="7">
        <v>151</v>
      </c>
      <c r="L12" s="8">
        <f>K12-J12</f>
        <v>0</v>
      </c>
      <c r="M12" s="9">
        <f>IF(C12&gt;0,J12/C12*1000,"")</f>
        <v>4.530045300453004</v>
      </c>
      <c r="N12" s="9">
        <f>IF(C12&gt;0,K12/C12*1000,"")</f>
        <v>4.530045300453004</v>
      </c>
      <c r="O12" s="10">
        <f>IF(OR(M12="",N12=""),"",N12-M12)</f>
        <v>0</v>
      </c>
      <c r="P12" s="7">
        <v>11</v>
      </c>
      <c r="Q12" s="7">
        <v>11</v>
      </c>
      <c r="R12" s="7">
        <v>11</v>
      </c>
      <c r="S12" s="7">
        <v>11</v>
      </c>
      <c r="T12" s="8">
        <f>R12-S12</f>
        <v>0</v>
      </c>
      <c r="U12" s="7">
        <v>0</v>
      </c>
      <c r="V12" s="7">
        <v>0</v>
      </c>
    </row>
    <row r="13" spans="1:22" x14ac:dyDescent="0.25">
      <c r="A13" s="6">
        <v>20</v>
      </c>
      <c r="B13" s="6" t="s">
        <v>67</v>
      </c>
      <c r="C13" s="7">
        <v>23006</v>
      </c>
      <c r="D13" s="7">
        <v>93</v>
      </c>
      <c r="E13" s="7">
        <v>93</v>
      </c>
      <c r="F13" s="8">
        <f>E13-D13</f>
        <v>0</v>
      </c>
      <c r="G13" s="7">
        <v>2</v>
      </c>
      <c r="H13" s="7">
        <v>2</v>
      </c>
      <c r="I13" s="8">
        <f>H13-G13</f>
        <v>0</v>
      </c>
      <c r="J13" s="7">
        <v>91</v>
      </c>
      <c r="K13" s="7">
        <v>91</v>
      </c>
      <c r="L13" s="8">
        <f>K13-J13</f>
        <v>0</v>
      </c>
      <c r="M13" s="9">
        <f>IF(C13&gt;0,J13/C13*1000,"")</f>
        <v>3.9554898722072505</v>
      </c>
      <c r="N13" s="9">
        <f>IF(C13&gt;0,K13/C13*1000,"")</f>
        <v>3.9554898722072505</v>
      </c>
      <c r="O13" s="10">
        <f>IF(OR(M13="",N13=""),"",N13-M13)</f>
        <v>0</v>
      </c>
      <c r="P13" s="7">
        <v>35</v>
      </c>
      <c r="Q13" s="7">
        <v>35</v>
      </c>
      <c r="R13" s="7">
        <v>12</v>
      </c>
      <c r="S13" s="7">
        <v>12</v>
      </c>
      <c r="T13" s="8">
        <f>R13-S13</f>
        <v>0</v>
      </c>
      <c r="U13" s="7">
        <v>13</v>
      </c>
      <c r="V13" s="7">
        <v>13</v>
      </c>
    </row>
    <row r="14" spans="1:22" x14ac:dyDescent="0.25">
      <c r="A14" s="6">
        <v>42</v>
      </c>
      <c r="B14" s="6" t="s">
        <v>68</v>
      </c>
      <c r="C14" s="7">
        <v>67733</v>
      </c>
      <c r="D14" s="7">
        <v>230</v>
      </c>
      <c r="E14" s="7">
        <v>230</v>
      </c>
      <c r="F14" s="8">
        <f>E14-D14</f>
        <v>0</v>
      </c>
      <c r="G14" s="7">
        <v>1</v>
      </c>
      <c r="H14" s="7">
        <v>1</v>
      </c>
      <c r="I14" s="8">
        <f>H14-G14</f>
        <v>0</v>
      </c>
      <c r="J14" s="7">
        <v>229</v>
      </c>
      <c r="K14" s="7">
        <v>229</v>
      </c>
      <c r="L14" s="8">
        <f>K14-J14</f>
        <v>0</v>
      </c>
      <c r="M14" s="9">
        <f>IF(C14&gt;0,J14/C14*1000,"")</f>
        <v>3.3809221502074323</v>
      </c>
      <c r="N14" s="9">
        <f>IF(C14&gt;0,K14/C14*1000,"")</f>
        <v>3.3809221502074323</v>
      </c>
      <c r="O14" s="10">
        <f>IF(OR(M14="",N14=""),"",N14-M14)</f>
        <v>0</v>
      </c>
      <c r="P14" s="7">
        <v>5</v>
      </c>
      <c r="Q14" s="7">
        <v>5</v>
      </c>
      <c r="R14" s="7">
        <v>13</v>
      </c>
      <c r="S14" s="7">
        <v>13</v>
      </c>
      <c r="T14" s="8">
        <f>R14-S14</f>
        <v>0</v>
      </c>
      <c r="U14" s="7">
        <v>0</v>
      </c>
      <c r="V14" s="7">
        <v>0</v>
      </c>
    </row>
    <row r="15" spans="1:22" x14ac:dyDescent="0.25">
      <c r="A15" s="6">
        <v>40</v>
      </c>
      <c r="B15" s="6" t="s">
        <v>69</v>
      </c>
      <c r="C15" s="7">
        <v>25591</v>
      </c>
      <c r="D15" s="7">
        <v>83</v>
      </c>
      <c r="E15" s="7">
        <v>83</v>
      </c>
      <c r="F15" s="8">
        <f>E15-D15</f>
        <v>0</v>
      </c>
      <c r="G15" s="7">
        <v>24</v>
      </c>
      <c r="H15" s="7">
        <v>24</v>
      </c>
      <c r="I15" s="8">
        <f>H15-G15</f>
        <v>0</v>
      </c>
      <c r="J15" s="7">
        <v>59</v>
      </c>
      <c r="K15" s="7">
        <v>59</v>
      </c>
      <c r="L15" s="8">
        <f>K15-J15</f>
        <v>0</v>
      </c>
      <c r="M15" s="9">
        <f>IF(C15&gt;0,J15/C15*1000,"")</f>
        <v>2.3054980266499943</v>
      </c>
      <c r="N15" s="9">
        <f>IF(C15&gt;0,K15/C15*1000,"")</f>
        <v>2.3054980266499943</v>
      </c>
      <c r="O15" s="10">
        <f>IF(OR(M15="",N15=""),"",N15-M15)</f>
        <v>0</v>
      </c>
      <c r="P15" s="7">
        <v>34</v>
      </c>
      <c r="Q15" s="7">
        <v>34</v>
      </c>
      <c r="R15" s="7">
        <v>14</v>
      </c>
      <c r="S15" s="7">
        <v>14</v>
      </c>
      <c r="T15" s="8">
        <f>R15-S15</f>
        <v>0</v>
      </c>
      <c r="U15" s="7">
        <v>0</v>
      </c>
      <c r="V15" s="7">
        <v>0</v>
      </c>
    </row>
    <row r="16" spans="1:22" x14ac:dyDescent="0.25">
      <c r="A16" s="6">
        <v>4</v>
      </c>
      <c r="B16" s="6" t="s">
        <v>70</v>
      </c>
      <c r="C16" s="7">
        <v>39515</v>
      </c>
      <c r="D16" s="7">
        <v>83</v>
      </c>
      <c r="E16" s="7">
        <v>83</v>
      </c>
      <c r="F16" s="8">
        <f>E16-D16</f>
        <v>0</v>
      </c>
      <c r="G16" s="7">
        <v>0</v>
      </c>
      <c r="H16" s="7">
        <v>0</v>
      </c>
      <c r="I16" s="8">
        <f>H16-G16</f>
        <v>0</v>
      </c>
      <c r="J16" s="7">
        <v>83</v>
      </c>
      <c r="K16" s="7">
        <v>83</v>
      </c>
      <c r="L16" s="8">
        <f>K16-J16</f>
        <v>0</v>
      </c>
      <c r="M16" s="9">
        <f>IF(C16&gt;0,J16/C16*1000,"")</f>
        <v>2.100468176641782</v>
      </c>
      <c r="N16" s="9">
        <f>IF(C16&gt;0,K16/C16*1000,"")</f>
        <v>2.100468176641782</v>
      </c>
      <c r="O16" s="10">
        <f>IF(OR(M16="",N16=""),"",N16-M16)</f>
        <v>0</v>
      </c>
      <c r="P16" s="7">
        <v>16</v>
      </c>
      <c r="Q16" s="7">
        <v>16</v>
      </c>
      <c r="R16" s="7">
        <v>15</v>
      </c>
      <c r="S16" s="7">
        <v>15</v>
      </c>
      <c r="T16" s="8">
        <f>R16-S16</f>
        <v>0</v>
      </c>
      <c r="U16" s="7">
        <v>0</v>
      </c>
      <c r="V16" s="7">
        <v>0</v>
      </c>
    </row>
    <row r="17" spans="1:22" x14ac:dyDescent="0.25">
      <c r="A17" s="6">
        <v>6</v>
      </c>
      <c r="B17" s="6" t="s">
        <v>71</v>
      </c>
      <c r="C17" s="7">
        <v>28363</v>
      </c>
      <c r="D17" s="7">
        <v>61</v>
      </c>
      <c r="E17" s="7">
        <v>61</v>
      </c>
      <c r="F17" s="8">
        <f>E17-D17</f>
        <v>0</v>
      </c>
      <c r="G17" s="7">
        <v>5</v>
      </c>
      <c r="H17" s="7">
        <v>5</v>
      </c>
      <c r="I17" s="8">
        <f>H17-G17</f>
        <v>0</v>
      </c>
      <c r="J17" s="7">
        <v>56</v>
      </c>
      <c r="K17" s="7">
        <v>56</v>
      </c>
      <c r="L17" s="8">
        <f>K17-J17</f>
        <v>0</v>
      </c>
      <c r="M17" s="9">
        <f>IF(C17&gt;0,J17/C17*1000,"")</f>
        <v>1.9744032718682791</v>
      </c>
      <c r="N17" s="9">
        <f>IF(C17&gt;0,K17/C17*1000,"")</f>
        <v>1.9744032718682791</v>
      </c>
      <c r="O17" s="10">
        <f>IF(OR(M17="",N17=""),"",N17-M17)</f>
        <v>0</v>
      </c>
      <c r="P17" s="7">
        <v>11</v>
      </c>
      <c r="Q17" s="7">
        <v>11</v>
      </c>
      <c r="R17" s="7">
        <v>16</v>
      </c>
      <c r="S17" s="7">
        <v>16</v>
      </c>
      <c r="T17" s="8">
        <f>R17-S17</f>
        <v>0</v>
      </c>
      <c r="U17" s="7">
        <v>13</v>
      </c>
      <c r="V17" s="7">
        <v>13</v>
      </c>
    </row>
    <row r="18" spans="1:22" x14ac:dyDescent="0.25">
      <c r="A18" s="6">
        <v>44</v>
      </c>
      <c r="B18" s="6" t="s">
        <v>72</v>
      </c>
      <c r="C18" s="7">
        <v>36248</v>
      </c>
      <c r="D18" s="7">
        <v>118</v>
      </c>
      <c r="E18" s="7">
        <v>118</v>
      </c>
      <c r="F18" s="8">
        <f>E18-D18</f>
        <v>0</v>
      </c>
      <c r="G18" s="7">
        <v>53</v>
      </c>
      <c r="H18" s="7">
        <v>53</v>
      </c>
      <c r="I18" s="8">
        <f>H18-G18</f>
        <v>0</v>
      </c>
      <c r="J18" s="7">
        <v>65</v>
      </c>
      <c r="K18" s="7">
        <v>65</v>
      </c>
      <c r="L18" s="8">
        <f>K18-J18</f>
        <v>0</v>
      </c>
      <c r="M18" s="9">
        <f>IF(C18&gt;0,J18/C18*1000,"")</f>
        <v>1.7932023835797837</v>
      </c>
      <c r="N18" s="9">
        <f>IF(C18&gt;0,K18/C18*1000,"")</f>
        <v>1.7932023835797837</v>
      </c>
      <c r="O18" s="10">
        <f>IF(OR(M18="",N18=""),"",N18-M18)</f>
        <v>0</v>
      </c>
      <c r="P18" s="7">
        <v>35</v>
      </c>
      <c r="Q18" s="7">
        <v>35</v>
      </c>
      <c r="R18" s="7">
        <v>17</v>
      </c>
      <c r="S18" s="7">
        <v>17</v>
      </c>
      <c r="T18" s="8">
        <f>R18-S18</f>
        <v>0</v>
      </c>
      <c r="U18" s="7">
        <v>0</v>
      </c>
      <c r="V18" s="7">
        <v>0</v>
      </c>
    </row>
    <row r="19" spans="1:22" x14ac:dyDescent="0.25">
      <c r="A19" s="6">
        <v>12</v>
      </c>
      <c r="B19" s="6" t="s">
        <v>73</v>
      </c>
      <c r="C19" s="7">
        <v>15697</v>
      </c>
      <c r="D19" s="7">
        <v>32</v>
      </c>
      <c r="E19" s="7">
        <v>32</v>
      </c>
      <c r="F19" s="8">
        <f>E19-D19</f>
        <v>0</v>
      </c>
      <c r="G19" s="7">
        <v>5</v>
      </c>
      <c r="H19" s="7">
        <v>5</v>
      </c>
      <c r="I19" s="8">
        <f>H19-G19</f>
        <v>0</v>
      </c>
      <c r="J19" s="7">
        <v>27</v>
      </c>
      <c r="K19" s="7">
        <v>27</v>
      </c>
      <c r="L19" s="8">
        <f>K19-J19</f>
        <v>0</v>
      </c>
      <c r="M19" s="9">
        <f>IF(C19&gt;0,J19/C19*1000,"")</f>
        <v>1.7200738994712366</v>
      </c>
      <c r="N19" s="9">
        <f>IF(C19&gt;0,K19/C19*1000,"")</f>
        <v>1.7200738994712366</v>
      </c>
      <c r="O19" s="10">
        <f>IF(OR(M19="",N19=""),"",N19-M19)</f>
        <v>0</v>
      </c>
      <c r="P19" s="7">
        <v>12</v>
      </c>
      <c r="Q19" s="7">
        <v>12</v>
      </c>
      <c r="R19" s="7">
        <v>18</v>
      </c>
      <c r="S19" s="7">
        <v>18</v>
      </c>
      <c r="T19" s="8">
        <f>R19-S19</f>
        <v>0</v>
      </c>
      <c r="U19" s="7">
        <v>0</v>
      </c>
      <c r="V19" s="7">
        <v>0</v>
      </c>
    </row>
    <row r="20" spans="1:22" x14ac:dyDescent="0.25">
      <c r="A20" s="6">
        <v>11</v>
      </c>
      <c r="B20" s="6" t="s">
        <v>74</v>
      </c>
      <c r="C20" s="7">
        <v>20473</v>
      </c>
      <c r="D20" s="7">
        <v>51</v>
      </c>
      <c r="E20" s="7">
        <v>51</v>
      </c>
      <c r="F20" s="8">
        <f>E20-D20</f>
        <v>0</v>
      </c>
      <c r="G20" s="7">
        <v>19</v>
      </c>
      <c r="H20" s="7">
        <v>19</v>
      </c>
      <c r="I20" s="8">
        <f>H20-G20</f>
        <v>0</v>
      </c>
      <c r="J20" s="7">
        <v>32</v>
      </c>
      <c r="K20" s="7">
        <v>32</v>
      </c>
      <c r="L20" s="8">
        <f>K20-J20</f>
        <v>0</v>
      </c>
      <c r="M20" s="9">
        <f>IF(C20&gt;0,J20/C20*1000,"")</f>
        <v>1.5630342402188246</v>
      </c>
      <c r="N20" s="9">
        <f>IF(C20&gt;0,K20/C20*1000,"")</f>
        <v>1.5630342402188246</v>
      </c>
      <c r="O20" s="10">
        <f>IF(OR(M20="",N20=""),"",N20-M20)</f>
        <v>0</v>
      </c>
      <c r="P20" s="7">
        <v>32</v>
      </c>
      <c r="Q20" s="7">
        <v>32</v>
      </c>
      <c r="R20" s="7">
        <v>19</v>
      </c>
      <c r="S20" s="7">
        <v>19</v>
      </c>
      <c r="T20" s="8">
        <f>R20-S20</f>
        <v>0</v>
      </c>
      <c r="U20" s="7">
        <v>0</v>
      </c>
      <c r="V20" s="7">
        <v>0</v>
      </c>
    </row>
    <row r="21" spans="1:22" x14ac:dyDescent="0.25">
      <c r="A21" s="6">
        <v>14</v>
      </c>
      <c r="B21" s="6" t="s">
        <v>75</v>
      </c>
      <c r="C21" s="7">
        <v>13682</v>
      </c>
      <c r="D21" s="7">
        <v>23</v>
      </c>
      <c r="E21" s="7">
        <v>23</v>
      </c>
      <c r="F21" s="8">
        <f>E21-D21</f>
        <v>0</v>
      </c>
      <c r="G21" s="7">
        <v>2</v>
      </c>
      <c r="H21" s="7">
        <v>2</v>
      </c>
      <c r="I21" s="8">
        <f>H21-G21</f>
        <v>0</v>
      </c>
      <c r="J21" s="7">
        <v>21</v>
      </c>
      <c r="K21" s="7">
        <v>21</v>
      </c>
      <c r="L21" s="8">
        <f>K21-J21</f>
        <v>0</v>
      </c>
      <c r="M21" s="9">
        <f>IF(C21&gt;0,J21/C21*1000,"")</f>
        <v>1.5348633240754275</v>
      </c>
      <c r="N21" s="9">
        <f>IF(C21&gt;0,K21/C21*1000,"")</f>
        <v>1.5348633240754275</v>
      </c>
      <c r="O21" s="10">
        <f>IF(OR(M21="",N21=""),"",N21-M21)</f>
        <v>0</v>
      </c>
      <c r="P21" s="7">
        <v>8</v>
      </c>
      <c r="Q21" s="7">
        <v>8</v>
      </c>
      <c r="R21" s="7">
        <v>20</v>
      </c>
      <c r="S21" s="7">
        <v>20</v>
      </c>
      <c r="T21" s="8">
        <f>R21-S21</f>
        <v>0</v>
      </c>
      <c r="U21" s="7">
        <v>0</v>
      </c>
      <c r="V21" s="7">
        <v>0</v>
      </c>
    </row>
    <row r="22" spans="1:22" x14ac:dyDescent="0.25">
      <c r="A22" s="6">
        <v>37</v>
      </c>
      <c r="B22" s="6" t="s">
        <v>76</v>
      </c>
      <c r="C22" s="7">
        <v>18601</v>
      </c>
      <c r="D22" s="7">
        <v>33</v>
      </c>
      <c r="E22" s="7">
        <v>33</v>
      </c>
      <c r="F22" s="8">
        <f>E22-D22</f>
        <v>0</v>
      </c>
      <c r="G22" s="7">
        <v>5</v>
      </c>
      <c r="H22" s="7">
        <v>5</v>
      </c>
      <c r="I22" s="8">
        <f>H22-G22</f>
        <v>0</v>
      </c>
      <c r="J22" s="7">
        <v>28</v>
      </c>
      <c r="K22" s="7">
        <v>28</v>
      </c>
      <c r="L22" s="8">
        <f>K22-J22</f>
        <v>0</v>
      </c>
      <c r="M22" s="9">
        <f>IF(C22&gt;0,J22/C22*1000,"")</f>
        <v>1.5052954142250417</v>
      </c>
      <c r="N22" s="9">
        <f>IF(C22&gt;0,K22/C22*1000,"")</f>
        <v>1.5052954142250417</v>
      </c>
      <c r="O22" s="10">
        <f>IF(OR(M22="",N22=""),"",N22-M22)</f>
        <v>0</v>
      </c>
      <c r="P22" s="7">
        <v>28</v>
      </c>
      <c r="Q22" s="7">
        <v>28</v>
      </c>
      <c r="R22" s="7">
        <v>21</v>
      </c>
      <c r="S22" s="7">
        <v>21</v>
      </c>
      <c r="T22" s="8">
        <f>R22-S22</f>
        <v>0</v>
      </c>
      <c r="U22" s="7">
        <v>8</v>
      </c>
      <c r="V22" s="7">
        <v>8</v>
      </c>
    </row>
    <row r="23" spans="1:22" x14ac:dyDescent="0.25">
      <c r="A23" s="6">
        <v>15</v>
      </c>
      <c r="B23" s="6" t="s">
        <v>77</v>
      </c>
      <c r="C23" s="7">
        <v>15502</v>
      </c>
      <c r="D23" s="7">
        <v>22</v>
      </c>
      <c r="E23" s="7">
        <v>22</v>
      </c>
      <c r="F23" s="8">
        <f>E23-D23</f>
        <v>0</v>
      </c>
      <c r="G23" s="7">
        <v>0</v>
      </c>
      <c r="H23" s="7">
        <v>0</v>
      </c>
      <c r="I23" s="8">
        <f>H23-G23</f>
        <v>0</v>
      </c>
      <c r="J23" s="7">
        <v>22</v>
      </c>
      <c r="K23" s="7">
        <v>22</v>
      </c>
      <c r="L23" s="8">
        <f>K23-J23</f>
        <v>0</v>
      </c>
      <c r="M23" s="9">
        <f>IF(C23&gt;0,J23/C23*1000,"")</f>
        <v>1.419171719778093</v>
      </c>
      <c r="N23" s="9">
        <f>IF(C23&gt;0,K23/C23*1000,"")</f>
        <v>1.419171719778093</v>
      </c>
      <c r="O23" s="10">
        <f>IF(OR(M23="",N23=""),"",N23-M23)</f>
        <v>0</v>
      </c>
      <c r="P23" s="7">
        <v>10</v>
      </c>
      <c r="Q23" s="7">
        <v>10</v>
      </c>
      <c r="R23" s="7">
        <v>22</v>
      </c>
      <c r="S23" s="7">
        <v>22</v>
      </c>
      <c r="T23" s="8">
        <f>R23-S23</f>
        <v>0</v>
      </c>
      <c r="U23" s="7">
        <v>16</v>
      </c>
      <c r="V23" s="7">
        <v>16</v>
      </c>
    </row>
    <row r="24" spans="1:22" x14ac:dyDescent="0.25">
      <c r="A24" s="6">
        <v>21</v>
      </c>
      <c r="B24" s="6" t="s">
        <v>78</v>
      </c>
      <c r="C24" s="7">
        <v>23270</v>
      </c>
      <c r="D24" s="7">
        <v>37</v>
      </c>
      <c r="E24" s="7">
        <v>37</v>
      </c>
      <c r="F24" s="8">
        <f>E24-D24</f>
        <v>0</v>
      </c>
      <c r="G24" s="7">
        <v>7</v>
      </c>
      <c r="H24" s="7">
        <v>7</v>
      </c>
      <c r="I24" s="8">
        <f>H24-G24</f>
        <v>0</v>
      </c>
      <c r="J24" s="7">
        <v>30</v>
      </c>
      <c r="K24" s="7">
        <v>30</v>
      </c>
      <c r="L24" s="8">
        <f>K24-J24</f>
        <v>0</v>
      </c>
      <c r="M24" s="9">
        <f>IF(C24&gt;0,J24/C24*1000,"")</f>
        <v>1.289213579716373</v>
      </c>
      <c r="N24" s="9">
        <f>IF(C24&gt;0,K24/C24*1000,"")</f>
        <v>1.289213579716373</v>
      </c>
      <c r="O24" s="10">
        <f>IF(OR(M24="",N24=""),"",N24-M24)</f>
        <v>0</v>
      </c>
      <c r="P24" s="7">
        <v>25</v>
      </c>
      <c r="Q24" s="7">
        <v>25</v>
      </c>
      <c r="R24" s="7">
        <v>23</v>
      </c>
      <c r="S24" s="7">
        <v>23</v>
      </c>
      <c r="T24" s="8">
        <f>R24-S24</f>
        <v>0</v>
      </c>
      <c r="U24" s="7">
        <v>19</v>
      </c>
      <c r="V24" s="7">
        <v>19</v>
      </c>
    </row>
    <row r="25" spans="1:22" x14ac:dyDescent="0.25">
      <c r="A25" s="6">
        <v>36</v>
      </c>
      <c r="B25" s="6" t="s">
        <v>79</v>
      </c>
      <c r="C25" s="7">
        <v>20764</v>
      </c>
      <c r="D25" s="7">
        <v>56</v>
      </c>
      <c r="E25" s="7">
        <v>56</v>
      </c>
      <c r="F25" s="8">
        <f>E25-D25</f>
        <v>0</v>
      </c>
      <c r="G25" s="7">
        <v>30</v>
      </c>
      <c r="H25" s="7">
        <v>30</v>
      </c>
      <c r="I25" s="8">
        <f>H25-G25</f>
        <v>0</v>
      </c>
      <c r="J25" s="7">
        <v>26</v>
      </c>
      <c r="K25" s="7">
        <v>26</v>
      </c>
      <c r="L25" s="8">
        <f>K25-J25</f>
        <v>0</v>
      </c>
      <c r="M25" s="9">
        <f>IF(C25&gt;0,J25/C25*1000,"")</f>
        <v>1.252167212483144</v>
      </c>
      <c r="N25" s="9">
        <f>IF(C25&gt;0,K25/C25*1000,"")</f>
        <v>1.252167212483144</v>
      </c>
      <c r="O25" s="10">
        <f>IF(OR(M25="",N25=""),"",N25-M25)</f>
        <v>0</v>
      </c>
      <c r="P25" s="7">
        <v>38</v>
      </c>
      <c r="Q25" s="7">
        <v>38</v>
      </c>
      <c r="R25" s="7">
        <v>24</v>
      </c>
      <c r="S25" s="7">
        <v>24</v>
      </c>
      <c r="T25" s="8">
        <f>R25-S25</f>
        <v>0</v>
      </c>
      <c r="U25" s="7">
        <v>2</v>
      </c>
      <c r="V25" s="7">
        <v>2</v>
      </c>
    </row>
    <row r="26" spans="1:22" x14ac:dyDescent="0.25">
      <c r="A26" s="6">
        <v>43</v>
      </c>
      <c r="B26" s="6" t="s">
        <v>80</v>
      </c>
      <c r="C26" s="7">
        <v>34360</v>
      </c>
      <c r="D26" s="7">
        <v>104</v>
      </c>
      <c r="E26" s="7">
        <v>104</v>
      </c>
      <c r="F26" s="8">
        <f>E26-D26</f>
        <v>0</v>
      </c>
      <c r="G26" s="7">
        <v>62</v>
      </c>
      <c r="H26" s="7">
        <v>62</v>
      </c>
      <c r="I26" s="8">
        <f>H26-G26</f>
        <v>0</v>
      </c>
      <c r="J26" s="7">
        <v>42</v>
      </c>
      <c r="K26" s="7">
        <v>42</v>
      </c>
      <c r="L26" s="8">
        <f>K26-J26</f>
        <v>0</v>
      </c>
      <c r="M26" s="9">
        <f>IF(C26&gt;0,J26/C26*1000,"")</f>
        <v>1.2223515715948778</v>
      </c>
      <c r="N26" s="9">
        <f>IF(C26&gt;0,K26/C26*1000,"")</f>
        <v>1.2223515715948778</v>
      </c>
      <c r="O26" s="10">
        <f>IF(OR(M26="",N26=""),"",N26-M26)</f>
        <v>0</v>
      </c>
      <c r="P26" s="7">
        <v>48</v>
      </c>
      <c r="Q26" s="7">
        <v>48</v>
      </c>
      <c r="R26" s="7">
        <v>25</v>
      </c>
      <c r="S26" s="7">
        <v>25</v>
      </c>
      <c r="T26" s="8">
        <f>R26-S26</f>
        <v>0</v>
      </c>
      <c r="U26" s="7">
        <v>0</v>
      </c>
      <c r="V26" s="7">
        <v>0</v>
      </c>
    </row>
    <row r="27" spans="1:22" x14ac:dyDescent="0.25">
      <c r="A27" s="6">
        <v>35</v>
      </c>
      <c r="B27" s="6" t="s">
        <v>81</v>
      </c>
      <c r="C27" s="7">
        <v>23394</v>
      </c>
      <c r="D27" s="7">
        <v>41</v>
      </c>
      <c r="E27" s="7">
        <v>41</v>
      </c>
      <c r="F27" s="8">
        <f>E27-D27</f>
        <v>0</v>
      </c>
      <c r="G27" s="7">
        <v>16</v>
      </c>
      <c r="H27" s="7">
        <v>16</v>
      </c>
      <c r="I27" s="8">
        <f>H27-G27</f>
        <v>0</v>
      </c>
      <c r="J27" s="7">
        <v>25</v>
      </c>
      <c r="K27" s="7">
        <v>25</v>
      </c>
      <c r="L27" s="8">
        <f>K27-J27</f>
        <v>0</v>
      </c>
      <c r="M27" s="9">
        <f>IF(C27&gt;0,J27/C27*1000,"")</f>
        <v>1.0686500812174062</v>
      </c>
      <c r="N27" s="9">
        <f>IF(C27&gt;0,K27/C27*1000,"")</f>
        <v>1.0686500812174062</v>
      </c>
      <c r="O27" s="10">
        <f>IF(OR(M27="",N27=""),"",N27-M27)</f>
        <v>0</v>
      </c>
      <c r="P27" s="7">
        <v>27</v>
      </c>
      <c r="Q27" s="7">
        <v>27</v>
      </c>
      <c r="R27" s="7">
        <v>26</v>
      </c>
      <c r="S27" s="7">
        <v>26</v>
      </c>
      <c r="T27" s="8">
        <f>R27-S27</f>
        <v>0</v>
      </c>
      <c r="U27" s="7">
        <v>0</v>
      </c>
      <c r="V27" s="7">
        <v>0</v>
      </c>
    </row>
    <row r="28" spans="1:22" x14ac:dyDescent="0.25">
      <c r="A28" s="6">
        <v>33</v>
      </c>
      <c r="B28" s="6" t="s">
        <v>82</v>
      </c>
      <c r="C28" s="7">
        <v>21804</v>
      </c>
      <c r="D28" s="7">
        <v>38</v>
      </c>
      <c r="E28" s="7">
        <v>38</v>
      </c>
      <c r="F28" s="8">
        <f>E28-D28</f>
        <v>0</v>
      </c>
      <c r="G28" s="7">
        <v>15</v>
      </c>
      <c r="H28" s="7">
        <v>15</v>
      </c>
      <c r="I28" s="8">
        <f>H28-G28</f>
        <v>0</v>
      </c>
      <c r="J28" s="7">
        <v>23</v>
      </c>
      <c r="K28" s="7">
        <v>23</v>
      </c>
      <c r="L28" s="8">
        <f>K28-J28</f>
        <v>0</v>
      </c>
      <c r="M28" s="9">
        <f>IF(C28&gt;0,J28/C28*1000,"")</f>
        <v>1.0548523206751055</v>
      </c>
      <c r="N28" s="9">
        <f>IF(C28&gt;0,K28/C28*1000,"")</f>
        <v>1.0548523206751055</v>
      </c>
      <c r="O28" s="10">
        <f>IF(OR(M28="",N28=""),"",N28-M28)</f>
        <v>0</v>
      </c>
      <c r="P28" s="7">
        <v>24</v>
      </c>
      <c r="Q28" s="7">
        <v>24</v>
      </c>
      <c r="R28" s="7">
        <v>27</v>
      </c>
      <c r="S28" s="7">
        <v>27</v>
      </c>
      <c r="T28" s="8">
        <f>R28-S28</f>
        <v>0</v>
      </c>
      <c r="U28" s="7">
        <v>0</v>
      </c>
      <c r="V28" s="7">
        <v>0</v>
      </c>
    </row>
    <row r="29" spans="1:22" x14ac:dyDescent="0.25">
      <c r="A29" s="6">
        <v>47</v>
      </c>
      <c r="B29" s="6" t="s">
        <v>83</v>
      </c>
      <c r="C29" s="7">
        <v>30483</v>
      </c>
      <c r="D29" s="7">
        <v>97</v>
      </c>
      <c r="E29" s="7">
        <v>97</v>
      </c>
      <c r="F29" s="8">
        <f>E29-D29</f>
        <v>0</v>
      </c>
      <c r="G29" s="7">
        <v>69</v>
      </c>
      <c r="H29" s="7">
        <v>69</v>
      </c>
      <c r="I29" s="8">
        <f>H29-G29</f>
        <v>0</v>
      </c>
      <c r="J29" s="7">
        <v>28</v>
      </c>
      <c r="K29" s="7">
        <v>28</v>
      </c>
      <c r="L29" s="8">
        <f>K29-J29</f>
        <v>0</v>
      </c>
      <c r="M29" s="9">
        <f>IF(C29&gt;0,J29/C29*1000,"")</f>
        <v>0.9185447626545944</v>
      </c>
      <c r="N29" s="9">
        <f>IF(C29&gt;0,K29/C29*1000,"")</f>
        <v>0.9185447626545944</v>
      </c>
      <c r="O29" s="10">
        <f>IF(OR(M29="",N29=""),"",N29-M29)</f>
        <v>0</v>
      </c>
      <c r="P29" s="7">
        <v>69</v>
      </c>
      <c r="Q29" s="7">
        <v>69</v>
      </c>
      <c r="R29" s="7">
        <v>28</v>
      </c>
      <c r="S29" s="7">
        <v>28</v>
      </c>
      <c r="T29" s="8">
        <f>R29-S29</f>
        <v>0</v>
      </c>
      <c r="U29" s="7">
        <v>1</v>
      </c>
      <c r="V29" s="7">
        <v>1</v>
      </c>
    </row>
    <row r="30" spans="1:22" x14ac:dyDescent="0.25">
      <c r="A30" s="6">
        <v>38</v>
      </c>
      <c r="B30" s="6" t="s">
        <v>84</v>
      </c>
      <c r="C30" s="7">
        <v>21982</v>
      </c>
      <c r="D30" s="7">
        <v>23</v>
      </c>
      <c r="E30" s="7">
        <v>23</v>
      </c>
      <c r="F30" s="8">
        <f>E30-D30</f>
        <v>0</v>
      </c>
      <c r="G30" s="7">
        <v>3</v>
      </c>
      <c r="H30" s="7">
        <v>3</v>
      </c>
      <c r="I30" s="8">
        <f>H30-G30</f>
        <v>0</v>
      </c>
      <c r="J30" s="7">
        <v>20</v>
      </c>
      <c r="K30" s="7">
        <v>20</v>
      </c>
      <c r="L30" s="8">
        <f>K30-J30</f>
        <v>0</v>
      </c>
      <c r="M30" s="9">
        <f>IF(C30&gt;0,J30/C30*1000,"")</f>
        <v>0.909835319807115</v>
      </c>
      <c r="N30" s="9">
        <f>IF(C30&gt;0,K30/C30*1000,"")</f>
        <v>0.909835319807115</v>
      </c>
      <c r="O30" s="10">
        <f>IF(OR(M30="",N30=""),"",N30-M30)</f>
        <v>0</v>
      </c>
      <c r="P30" s="7">
        <v>10</v>
      </c>
      <c r="Q30" s="7">
        <v>10</v>
      </c>
      <c r="R30" s="7">
        <v>29</v>
      </c>
      <c r="S30" s="7">
        <v>29</v>
      </c>
      <c r="T30" s="8">
        <f>R30-S30</f>
        <v>0</v>
      </c>
      <c r="U30" s="7">
        <v>0</v>
      </c>
      <c r="V30" s="7">
        <v>0</v>
      </c>
    </row>
    <row r="31" spans="1:22" x14ac:dyDescent="0.25">
      <c r="A31" s="6">
        <v>2</v>
      </c>
      <c r="B31" s="6" t="s">
        <v>85</v>
      </c>
      <c r="C31" s="7">
        <v>50289</v>
      </c>
      <c r="D31" s="7">
        <v>63</v>
      </c>
      <c r="E31" s="7">
        <v>63</v>
      </c>
      <c r="F31" s="8">
        <f>E31-D31</f>
        <v>0</v>
      </c>
      <c r="G31" s="7">
        <v>19</v>
      </c>
      <c r="H31" s="7">
        <v>19</v>
      </c>
      <c r="I31" s="8">
        <f>H31-G31</f>
        <v>0</v>
      </c>
      <c r="J31" s="7">
        <v>44</v>
      </c>
      <c r="K31" s="7">
        <v>44</v>
      </c>
      <c r="L31" s="8">
        <f>K31-J31</f>
        <v>0</v>
      </c>
      <c r="M31" s="9">
        <f>IF(C31&gt;0,J31/C31*1000,"")</f>
        <v>0.8749428304400564</v>
      </c>
      <c r="N31" s="9">
        <f>IF(C31&gt;0,K31/C31*1000,"")</f>
        <v>0.8749428304400564</v>
      </c>
      <c r="O31" s="10">
        <f>IF(OR(M31="",N31=""),"",N31-M31)</f>
        <v>0</v>
      </c>
      <c r="P31" s="7">
        <v>17</v>
      </c>
      <c r="Q31" s="7">
        <v>17</v>
      </c>
      <c r="R31" s="7">
        <v>30</v>
      </c>
      <c r="S31" s="7">
        <v>30</v>
      </c>
      <c r="T31" s="8">
        <f>R31-S31</f>
        <v>0</v>
      </c>
      <c r="U31" s="7">
        <v>0</v>
      </c>
      <c r="V31" s="7">
        <v>0</v>
      </c>
    </row>
    <row r="32" spans="1:22" x14ac:dyDescent="0.25">
      <c r="A32" s="6">
        <v>22</v>
      </c>
      <c r="B32" s="6" t="s">
        <v>86</v>
      </c>
      <c r="C32" s="7">
        <v>14305</v>
      </c>
      <c r="D32" s="7">
        <v>10</v>
      </c>
      <c r="E32" s="7">
        <v>10</v>
      </c>
      <c r="F32" s="8">
        <f>E32-D32</f>
        <v>0</v>
      </c>
      <c r="G32" s="7">
        <v>2</v>
      </c>
      <c r="H32" s="7">
        <v>2</v>
      </c>
      <c r="I32" s="8">
        <f>H32-G32</f>
        <v>0</v>
      </c>
      <c r="J32" s="7">
        <v>8</v>
      </c>
      <c r="K32" s="7">
        <v>8</v>
      </c>
      <c r="L32" s="8">
        <f>K32-J32</f>
        <v>0</v>
      </c>
      <c r="M32" s="9">
        <f>IF(C32&gt;0,J32/C32*1000,"")</f>
        <v>0.5592450192240476</v>
      </c>
      <c r="N32" s="9">
        <f>IF(C32&gt;0,K32/C32*1000,"")</f>
        <v>0.5592450192240476</v>
      </c>
      <c r="O32" s="10">
        <f>IF(OR(M32="",N32=""),"",N32-M32)</f>
        <v>0</v>
      </c>
      <c r="P32" s="7">
        <v>8</v>
      </c>
      <c r="Q32" s="7">
        <v>8</v>
      </c>
      <c r="R32" s="7">
        <v>31</v>
      </c>
      <c r="S32" s="7">
        <v>31</v>
      </c>
      <c r="T32" s="8">
        <f>R32-S32</f>
        <v>0</v>
      </c>
      <c r="U32" s="7">
        <v>0</v>
      </c>
      <c r="V32" s="7">
        <v>0</v>
      </c>
    </row>
    <row r="33" spans="1:22" x14ac:dyDescent="0.25">
      <c r="A33" s="6">
        <v>41</v>
      </c>
      <c r="B33" s="6" t="s">
        <v>87</v>
      </c>
      <c r="C33" s="7">
        <v>25462</v>
      </c>
      <c r="D33" s="7">
        <v>24</v>
      </c>
      <c r="E33" s="7">
        <v>24</v>
      </c>
      <c r="F33" s="8">
        <f>E33-D33</f>
        <v>0</v>
      </c>
      <c r="G33" s="7">
        <v>11</v>
      </c>
      <c r="H33" s="7">
        <v>11</v>
      </c>
      <c r="I33" s="8">
        <f>H33-G33</f>
        <v>0</v>
      </c>
      <c r="J33" s="7">
        <v>13</v>
      </c>
      <c r="K33" s="7">
        <v>13</v>
      </c>
      <c r="L33" s="8">
        <f>K33-J33</f>
        <v>0</v>
      </c>
      <c r="M33" s="9">
        <f>IF(C33&gt;0,J33/C33*1000,"")</f>
        <v>0.5105647631764982</v>
      </c>
      <c r="N33" s="9">
        <f>IF(C33&gt;0,K33/C33*1000,"")</f>
        <v>0.5105647631764982</v>
      </c>
      <c r="O33" s="10">
        <f>IF(OR(M33="",N33=""),"",N33-M33)</f>
        <v>0</v>
      </c>
      <c r="P33" s="7">
        <v>16</v>
      </c>
      <c r="Q33" s="7">
        <v>16</v>
      </c>
      <c r="R33" s="7">
        <v>32</v>
      </c>
      <c r="S33" s="7">
        <v>32</v>
      </c>
      <c r="T33" s="8">
        <f>R33-S33</f>
        <v>0</v>
      </c>
      <c r="U33" s="7">
        <v>0</v>
      </c>
      <c r="V33" s="7">
        <v>0</v>
      </c>
    </row>
    <row r="34" spans="1:22" x14ac:dyDescent="0.25">
      <c r="A34" s="6">
        <v>45</v>
      </c>
      <c r="B34" s="6" t="s">
        <v>88</v>
      </c>
      <c r="C34" s="7">
        <v>24235</v>
      </c>
      <c r="D34" s="7">
        <v>20</v>
      </c>
      <c r="E34" s="7">
        <v>20</v>
      </c>
      <c r="F34" s="8">
        <f>E34-D34</f>
        <v>0</v>
      </c>
      <c r="G34" s="7">
        <v>8</v>
      </c>
      <c r="H34" s="7">
        <v>8</v>
      </c>
      <c r="I34" s="8">
        <f>H34-G34</f>
        <v>0</v>
      </c>
      <c r="J34" s="7">
        <v>12</v>
      </c>
      <c r="K34" s="7">
        <v>12</v>
      </c>
      <c r="L34" s="8">
        <f>K34-J34</f>
        <v>0</v>
      </c>
      <c r="M34" s="9">
        <f>IF(C34&gt;0,J34/C34*1000,"")</f>
        <v>0.4951516401898082</v>
      </c>
      <c r="N34" s="9">
        <f>IF(C34&gt;0,K34/C34*1000,"")</f>
        <v>0.4951516401898082</v>
      </c>
      <c r="O34" s="10">
        <f>IF(OR(M34="",N34=""),"",N34-M34)</f>
        <v>0</v>
      </c>
      <c r="P34" s="7">
        <v>15</v>
      </c>
      <c r="Q34" s="7">
        <v>15</v>
      </c>
      <c r="R34" s="7">
        <v>33</v>
      </c>
      <c r="S34" s="7">
        <v>33</v>
      </c>
      <c r="T34" s="8">
        <f>R34-S34</f>
        <v>0</v>
      </c>
      <c r="U34" s="7">
        <v>0</v>
      </c>
      <c r="V34" s="7">
        <v>0</v>
      </c>
    </row>
    <row r="35" spans="1:22" x14ac:dyDescent="0.25">
      <c r="A35" s="6">
        <v>16</v>
      </c>
      <c r="B35" s="6" t="s">
        <v>89</v>
      </c>
      <c r="C35" s="7">
        <v>20208</v>
      </c>
      <c r="D35" s="7">
        <v>12</v>
      </c>
      <c r="E35" s="7">
        <v>12</v>
      </c>
      <c r="F35" s="8">
        <f>E35-D35</f>
        <v>0</v>
      </c>
      <c r="G35" s="7">
        <v>2</v>
      </c>
      <c r="H35" s="7">
        <v>2</v>
      </c>
      <c r="I35" s="8">
        <f>H35-G35</f>
        <v>0</v>
      </c>
      <c r="J35" s="7">
        <v>10</v>
      </c>
      <c r="K35" s="7">
        <v>10</v>
      </c>
      <c r="L35" s="8">
        <f>K35-J35</f>
        <v>0</v>
      </c>
      <c r="M35" s="9">
        <f>IF(C35&gt;0,J35/C35*1000,"")</f>
        <v>0.49485352335708627</v>
      </c>
      <c r="N35" s="9">
        <f>IF(C35&gt;0,K35/C35*1000,"")</f>
        <v>0.49485352335708627</v>
      </c>
      <c r="O35" s="10">
        <f>IF(OR(M35="",N35=""),"",N35-M35)</f>
        <v>0</v>
      </c>
      <c r="P35" s="7">
        <v>11</v>
      </c>
      <c r="Q35" s="7">
        <v>11</v>
      </c>
      <c r="R35" s="7">
        <v>34</v>
      </c>
      <c r="S35" s="7">
        <v>34</v>
      </c>
      <c r="T35" s="8">
        <f>R35-S35</f>
        <v>0</v>
      </c>
      <c r="U35" s="7">
        <v>51</v>
      </c>
      <c r="V35" s="7">
        <v>51</v>
      </c>
    </row>
    <row r="36" spans="1:22" x14ac:dyDescent="0.25">
      <c r="A36" s="6">
        <v>7</v>
      </c>
      <c r="B36" s="6" t="s">
        <v>90</v>
      </c>
      <c r="C36" s="7">
        <v>28483</v>
      </c>
      <c r="D36" s="7">
        <v>15</v>
      </c>
      <c r="E36" s="7">
        <v>15</v>
      </c>
      <c r="F36" s="8">
        <f>E36-D36</f>
        <v>0</v>
      </c>
      <c r="G36" s="7">
        <v>3</v>
      </c>
      <c r="H36" s="7">
        <v>3</v>
      </c>
      <c r="I36" s="8">
        <f>H36-G36</f>
        <v>0</v>
      </c>
      <c r="J36" s="7">
        <v>12</v>
      </c>
      <c r="K36" s="7">
        <v>12</v>
      </c>
      <c r="L36" s="8">
        <f>K36-J36</f>
        <v>0</v>
      </c>
      <c r="M36" s="9">
        <f>IF(C36&gt;0,J36/C36*1000,"")</f>
        <v>0.42130393568093244</v>
      </c>
      <c r="N36" s="9">
        <f>IF(C36&gt;0,K36/C36*1000,"")</f>
        <v>0.42130393568093244</v>
      </c>
      <c r="O36" s="10">
        <f>IF(OR(M36="",N36=""),"",N36-M36)</f>
        <v>0</v>
      </c>
      <c r="P36" s="7">
        <v>4</v>
      </c>
      <c r="Q36" s="7">
        <v>4</v>
      </c>
      <c r="R36" s="7">
        <v>35</v>
      </c>
      <c r="S36" s="7">
        <v>35</v>
      </c>
      <c r="T36" s="8">
        <f>R36-S36</f>
        <v>0</v>
      </c>
      <c r="U36" s="7">
        <v>15</v>
      </c>
      <c r="V36" s="7">
        <v>15</v>
      </c>
    </row>
    <row r="37" spans="1:22" x14ac:dyDescent="0.25">
      <c r="A37" s="6">
        <v>50</v>
      </c>
      <c r="B37" s="6" t="s">
        <v>91</v>
      </c>
      <c r="C37" s="7">
        <v>19909</v>
      </c>
      <c r="D37" s="7">
        <v>11</v>
      </c>
      <c r="E37" s="7">
        <v>11</v>
      </c>
      <c r="F37" s="8">
        <f>E37-D37</f>
        <v>0</v>
      </c>
      <c r="G37" s="7">
        <v>3</v>
      </c>
      <c r="H37" s="7">
        <v>3</v>
      </c>
      <c r="I37" s="8">
        <f>H37-G37</f>
        <v>0</v>
      </c>
      <c r="J37" s="7">
        <v>8</v>
      </c>
      <c r="K37" s="7">
        <v>8</v>
      </c>
      <c r="L37" s="8">
        <f>K37-J37</f>
        <v>0</v>
      </c>
      <c r="M37" s="9">
        <f>IF(C37&gt;0,J37/C37*1000,"")</f>
        <v>0.40182831885077097</v>
      </c>
      <c r="N37" s="9">
        <f>IF(C37&gt;0,K37/C37*1000,"")</f>
        <v>0.40182831885077097</v>
      </c>
      <c r="O37" s="10">
        <f>IF(OR(M37="",N37=""),"",N37-M37)</f>
        <v>0</v>
      </c>
      <c r="P37" s="7">
        <v>11</v>
      </c>
      <c r="Q37" s="7">
        <v>11</v>
      </c>
      <c r="R37" s="7">
        <v>36</v>
      </c>
      <c r="S37" s="7">
        <v>36</v>
      </c>
      <c r="T37" s="8">
        <f>R37-S37</f>
        <v>0</v>
      </c>
      <c r="U37" s="7">
        <v>0</v>
      </c>
      <c r="V37" s="7">
        <v>0</v>
      </c>
    </row>
    <row r="38" spans="1:22" x14ac:dyDescent="0.25">
      <c r="A38" s="6">
        <v>39</v>
      </c>
      <c r="B38" s="6" t="s">
        <v>92</v>
      </c>
      <c r="C38" s="7">
        <v>22495</v>
      </c>
      <c r="D38" s="7">
        <v>22</v>
      </c>
      <c r="E38" s="7">
        <v>22</v>
      </c>
      <c r="F38" s="8">
        <f>E38-D38</f>
        <v>0</v>
      </c>
      <c r="G38" s="7">
        <v>13</v>
      </c>
      <c r="H38" s="7">
        <v>13</v>
      </c>
      <c r="I38" s="8">
        <f>H38-G38</f>
        <v>0</v>
      </c>
      <c r="J38" s="7">
        <v>9</v>
      </c>
      <c r="K38" s="7">
        <v>9</v>
      </c>
      <c r="L38" s="8">
        <f>K38-J38</f>
        <v>0</v>
      </c>
      <c r="M38" s="9">
        <f>IF(C38&gt;0,J38/C38*1000,"")</f>
        <v>0.40008890864636587</v>
      </c>
      <c r="N38" s="9">
        <f>IF(C38&gt;0,K38/C38*1000,"")</f>
        <v>0.40008890864636587</v>
      </c>
      <c r="O38" s="10">
        <f>IF(OR(M38="",N38=""),"",N38-M38)</f>
        <v>0</v>
      </c>
      <c r="P38" s="7">
        <v>18</v>
      </c>
      <c r="Q38" s="7">
        <v>18</v>
      </c>
      <c r="R38" s="7">
        <v>37</v>
      </c>
      <c r="S38" s="7">
        <v>37</v>
      </c>
      <c r="T38" s="8">
        <f>R38-S38</f>
        <v>0</v>
      </c>
      <c r="U38" s="7">
        <v>0</v>
      </c>
      <c r="V38" s="7">
        <v>0</v>
      </c>
    </row>
    <row r="39" spans="1:22" x14ac:dyDescent="0.25">
      <c r="A39" s="6">
        <v>8</v>
      </c>
      <c r="B39" s="6" t="s">
        <v>93</v>
      </c>
      <c r="C39" s="7">
        <v>27536</v>
      </c>
      <c r="D39" s="7">
        <v>9</v>
      </c>
      <c r="E39" s="7">
        <v>9</v>
      </c>
      <c r="F39" s="8">
        <f>E39-D39</f>
        <v>0</v>
      </c>
      <c r="G39" s="7">
        <v>1</v>
      </c>
      <c r="H39" s="7">
        <v>1</v>
      </c>
      <c r="I39" s="8">
        <f>H39-G39</f>
        <v>0</v>
      </c>
      <c r="J39" s="7">
        <v>8</v>
      </c>
      <c r="K39" s="7">
        <v>8</v>
      </c>
      <c r="L39" s="8">
        <f>K39-J39</f>
        <v>0</v>
      </c>
      <c r="M39" s="9">
        <f>IF(C39&gt;0,J39/C39*1000,"")</f>
        <v>0.2905287623474724</v>
      </c>
      <c r="N39" s="9">
        <f>IF(C39&gt;0,K39/C39*1000,"")</f>
        <v>0.2905287623474724</v>
      </c>
      <c r="O39" s="10">
        <f>IF(OR(M39="",N39=""),"",N39-M39)</f>
        <v>0</v>
      </c>
      <c r="P39" s="7">
        <v>5</v>
      </c>
      <c r="Q39" s="7">
        <v>5</v>
      </c>
      <c r="R39" s="7">
        <v>38</v>
      </c>
      <c r="S39" s="7">
        <v>38</v>
      </c>
      <c r="T39" s="8">
        <f>R39-S39</f>
        <v>0</v>
      </c>
      <c r="U39" s="7">
        <v>12</v>
      </c>
      <c r="V39" s="7">
        <v>12</v>
      </c>
    </row>
    <row r="40" spans="1:22" x14ac:dyDescent="0.25">
      <c r="A40" s="6">
        <v>29</v>
      </c>
      <c r="B40" s="6" t="s">
        <v>94</v>
      </c>
      <c r="C40" s="7">
        <v>21072</v>
      </c>
      <c r="D40" s="7">
        <v>9</v>
      </c>
      <c r="E40" s="7">
        <v>9</v>
      </c>
      <c r="F40" s="8">
        <f>E40-D40</f>
        <v>0</v>
      </c>
      <c r="G40" s="7">
        <v>3</v>
      </c>
      <c r="H40" s="7">
        <v>3</v>
      </c>
      <c r="I40" s="8">
        <f>H40-G40</f>
        <v>0</v>
      </c>
      <c r="J40" s="7">
        <v>6</v>
      </c>
      <c r="K40" s="7">
        <v>6</v>
      </c>
      <c r="L40" s="8">
        <f>K40-J40</f>
        <v>0</v>
      </c>
      <c r="M40" s="9">
        <f>IF(C40&gt;0,J40/C40*1000,"")</f>
        <v>0.2847380410022779</v>
      </c>
      <c r="N40" s="9">
        <f>IF(C40&gt;0,K40/C40*1000,"")</f>
        <v>0.2847380410022779</v>
      </c>
      <c r="O40" s="10">
        <f>IF(OR(M40="",N40=""),"",N40-M40)</f>
        <v>0</v>
      </c>
      <c r="P40" s="7">
        <v>9</v>
      </c>
      <c r="Q40" s="7">
        <v>9</v>
      </c>
      <c r="R40" s="7">
        <v>39</v>
      </c>
      <c r="S40" s="7">
        <v>39</v>
      </c>
      <c r="T40" s="8">
        <f>R40-S40</f>
        <v>0</v>
      </c>
      <c r="U40" s="7">
        <v>3</v>
      </c>
      <c r="V40" s="7">
        <v>3</v>
      </c>
    </row>
    <row r="41" spans="1:22" x14ac:dyDescent="0.25">
      <c r="A41" s="6">
        <v>17</v>
      </c>
      <c r="B41" s="6" t="s">
        <v>95</v>
      </c>
      <c r="C41" s="7">
        <v>21944</v>
      </c>
      <c r="D41" s="7">
        <v>10</v>
      </c>
      <c r="E41" s="7">
        <v>10</v>
      </c>
      <c r="F41" s="8">
        <f>E41-D41</f>
        <v>0</v>
      </c>
      <c r="G41" s="7">
        <v>4</v>
      </c>
      <c r="H41" s="7">
        <v>4</v>
      </c>
      <c r="I41" s="8">
        <f>H41-G41</f>
        <v>0</v>
      </c>
      <c r="J41" s="7">
        <v>6</v>
      </c>
      <c r="K41" s="7">
        <v>6</v>
      </c>
      <c r="L41" s="8">
        <f>K41-J41</f>
        <v>0</v>
      </c>
      <c r="M41" s="9">
        <f>IF(C41&gt;0,J41/C41*1000,"")</f>
        <v>0.27342325920524974</v>
      </c>
      <c r="N41" s="9">
        <f>IF(C41&gt;0,K41/C41*1000,"")</f>
        <v>0.27342325920524974</v>
      </c>
      <c r="O41" s="10">
        <f>IF(OR(M41="",N41=""),"",N41-M41)</f>
        <v>0</v>
      </c>
      <c r="P41" s="7">
        <v>12</v>
      </c>
      <c r="Q41" s="7">
        <v>12</v>
      </c>
      <c r="R41" s="7">
        <v>40</v>
      </c>
      <c r="S41" s="7">
        <v>40</v>
      </c>
      <c r="T41" s="8">
        <f>R41-S41</f>
        <v>0</v>
      </c>
      <c r="U41" s="7">
        <v>22</v>
      </c>
      <c r="V41" s="7">
        <v>22</v>
      </c>
    </row>
    <row r="42" spans="1:22" x14ac:dyDescent="0.25">
      <c r="A42" s="6">
        <v>31</v>
      </c>
      <c r="B42" s="6" t="s">
        <v>96</v>
      </c>
      <c r="C42" s="7">
        <v>17755</v>
      </c>
      <c r="D42" s="7">
        <v>7</v>
      </c>
      <c r="E42" s="7">
        <v>7</v>
      </c>
      <c r="F42" s="8">
        <f>E42-D42</f>
        <v>0</v>
      </c>
      <c r="G42" s="7">
        <v>5</v>
      </c>
      <c r="H42" s="7">
        <v>5</v>
      </c>
      <c r="I42" s="8">
        <f>H42-G42</f>
        <v>0</v>
      </c>
      <c r="J42" s="7">
        <v>2</v>
      </c>
      <c r="K42" s="7">
        <v>2</v>
      </c>
      <c r="L42" s="8">
        <f>K42-J42</f>
        <v>0</v>
      </c>
      <c r="M42" s="9">
        <f>IF(C42&gt;0,J42/C42*1000,"")</f>
        <v>0.11264432554210081</v>
      </c>
      <c r="N42" s="9">
        <f>IF(C42&gt;0,K42/C42*1000,"")</f>
        <v>0.11264432554210081</v>
      </c>
      <c r="O42" s="10">
        <f>IF(OR(M42="",N42=""),"",N42-M42)</f>
        <v>0</v>
      </c>
      <c r="P42" s="7">
        <v>6</v>
      </c>
      <c r="Q42" s="7">
        <v>6</v>
      </c>
      <c r="R42" s="7">
        <v>41</v>
      </c>
      <c r="S42" s="7">
        <v>41</v>
      </c>
      <c r="T42" s="8">
        <f>R42-S42</f>
        <v>0</v>
      </c>
      <c r="U42" s="7">
        <v>0</v>
      </c>
      <c r="V42" s="7">
        <v>0</v>
      </c>
    </row>
    <row r="43" spans="1:22" x14ac:dyDescent="0.25">
      <c r="A43" s="6">
        <v>49</v>
      </c>
      <c r="B43" s="6" t="s">
        <v>97</v>
      </c>
      <c r="C43" s="7">
        <v>30084</v>
      </c>
      <c r="D43" s="7">
        <v>5</v>
      </c>
      <c r="E43" s="7">
        <v>5</v>
      </c>
      <c r="F43" s="8">
        <f>E43-D43</f>
        <v>0</v>
      </c>
      <c r="G43" s="7">
        <v>2</v>
      </c>
      <c r="H43" s="7">
        <v>2</v>
      </c>
      <c r="I43" s="8">
        <f>H43-G43</f>
        <v>0</v>
      </c>
      <c r="J43" s="7">
        <v>3</v>
      </c>
      <c r="K43" s="7">
        <v>3</v>
      </c>
      <c r="L43" s="8">
        <f>K43-J43</f>
        <v>0</v>
      </c>
      <c r="M43" s="9">
        <f>IF(C43&gt;0,J43/C43*1000,"")</f>
        <v>0.09972078181092939</v>
      </c>
      <c r="N43" s="9">
        <f>IF(C43&gt;0,K43/C43*1000,"")</f>
        <v>0.09972078181092939</v>
      </c>
      <c r="O43" s="10">
        <f>IF(OR(M43="",N43=""),"",N43-M43)</f>
        <v>0</v>
      </c>
      <c r="P43" s="7">
        <v>5</v>
      </c>
      <c r="Q43" s="7">
        <v>5</v>
      </c>
      <c r="R43" s="7">
        <v>42</v>
      </c>
      <c r="S43" s="7">
        <v>42</v>
      </c>
      <c r="T43" s="8">
        <f>R43-S43</f>
        <v>0</v>
      </c>
      <c r="U43" s="7">
        <v>0</v>
      </c>
      <c r="V43" s="7">
        <v>0</v>
      </c>
    </row>
    <row r="44" spans="1:22" x14ac:dyDescent="0.25">
      <c r="A44" s="6">
        <v>19</v>
      </c>
      <c r="B44" s="6" t="s">
        <v>98</v>
      </c>
      <c r="C44" s="7">
        <v>21515</v>
      </c>
      <c r="D44" s="7">
        <v>7</v>
      </c>
      <c r="E44" s="7">
        <v>7</v>
      </c>
      <c r="F44" s="8">
        <f>E44-D44</f>
        <v>0</v>
      </c>
      <c r="G44" s="7">
        <v>5</v>
      </c>
      <c r="H44" s="7">
        <v>5</v>
      </c>
      <c r="I44" s="8">
        <f>H44-G44</f>
        <v>0</v>
      </c>
      <c r="J44" s="7">
        <v>2</v>
      </c>
      <c r="K44" s="7">
        <v>2</v>
      </c>
      <c r="L44" s="8">
        <f>K44-J44</f>
        <v>0</v>
      </c>
      <c r="M44" s="9">
        <f>IF(C44&gt;0,J44/C44*1000,"")</f>
        <v>0.09295840111550081</v>
      </c>
      <c r="N44" s="9">
        <f>IF(C44&gt;0,K44/C44*1000,"")</f>
        <v>0.09295840111550081</v>
      </c>
      <c r="O44" s="10">
        <f>IF(OR(M44="",N44=""),"",N44-M44)</f>
        <v>0</v>
      </c>
      <c r="P44" s="7">
        <v>8</v>
      </c>
      <c r="Q44" s="7">
        <v>8</v>
      </c>
      <c r="R44" s="7">
        <v>43</v>
      </c>
      <c r="S44" s="7">
        <v>43</v>
      </c>
      <c r="T44" s="8">
        <f>R44-S44</f>
        <v>0</v>
      </c>
      <c r="U44" s="7">
        <v>1</v>
      </c>
      <c r="V44" s="7">
        <v>1</v>
      </c>
    </row>
    <row r="45" spans="1:22" x14ac:dyDescent="0.25">
      <c r="A45" s="6">
        <v>9</v>
      </c>
      <c r="B45" s="6" t="s">
        <v>99</v>
      </c>
      <c r="C45" s="7">
        <v>25610</v>
      </c>
      <c r="D45" s="7">
        <v>9</v>
      </c>
      <c r="E45" s="7">
        <v>9</v>
      </c>
      <c r="F45" s="8">
        <f>E45-D45</f>
        <v>0</v>
      </c>
      <c r="G45" s="7">
        <v>7</v>
      </c>
      <c r="H45" s="7">
        <v>7</v>
      </c>
      <c r="I45" s="8">
        <f>H45-G45</f>
        <v>0</v>
      </c>
      <c r="J45" s="7">
        <v>2</v>
      </c>
      <c r="K45" s="7">
        <v>2</v>
      </c>
      <c r="L45" s="8">
        <f>K45-J45</f>
        <v>0</v>
      </c>
      <c r="M45" s="9">
        <f>IF(C45&gt;0,J45/C45*1000,"")</f>
        <v>0.07809449433814916</v>
      </c>
      <c r="N45" s="9">
        <f>IF(C45&gt;0,K45/C45*1000,"")</f>
        <v>0.07809449433814916</v>
      </c>
      <c r="O45" s="10">
        <f>IF(OR(M45="",N45=""),"",N45-M45)</f>
        <v>0</v>
      </c>
      <c r="P45" s="7">
        <v>13</v>
      </c>
      <c r="Q45" s="7">
        <v>13</v>
      </c>
      <c r="R45" s="7">
        <v>44</v>
      </c>
      <c r="S45" s="7">
        <v>44</v>
      </c>
      <c r="T45" s="8">
        <f>R45-S45</f>
        <v>0</v>
      </c>
      <c r="U45" s="7">
        <v>24</v>
      </c>
      <c r="V45" s="7">
        <v>24</v>
      </c>
    </row>
    <row r="46" spans="1:22" x14ac:dyDescent="0.25">
      <c r="A46" s="6">
        <v>30</v>
      </c>
      <c r="B46" s="6" t="s">
        <v>100</v>
      </c>
      <c r="C46" s="7">
        <v>19725</v>
      </c>
      <c r="D46" s="7">
        <v>14</v>
      </c>
      <c r="E46" s="7">
        <v>14</v>
      </c>
      <c r="F46" s="8">
        <f>E46-D46</f>
        <v>0</v>
      </c>
      <c r="G46" s="7">
        <v>13</v>
      </c>
      <c r="H46" s="7">
        <v>13</v>
      </c>
      <c r="I46" s="8">
        <f>H46-G46</f>
        <v>0</v>
      </c>
      <c r="J46" s="7">
        <v>1</v>
      </c>
      <c r="K46" s="7">
        <v>1</v>
      </c>
      <c r="L46" s="8">
        <f>K46-J46</f>
        <v>0</v>
      </c>
      <c r="M46" s="9">
        <f>IF(C46&gt;0,J46/C46*1000,"")</f>
        <v>0.050697084917617236</v>
      </c>
      <c r="N46" s="9">
        <f>IF(C46&gt;0,K46/C46*1000,"")</f>
        <v>0.050697084917617236</v>
      </c>
      <c r="O46" s="10">
        <f>IF(OR(M46="",N46=""),"",N46-M46)</f>
        <v>0</v>
      </c>
      <c r="P46" s="7">
        <v>21</v>
      </c>
      <c r="Q46" s="7">
        <v>21</v>
      </c>
      <c r="R46" s="7">
        <v>45</v>
      </c>
      <c r="S46" s="7">
        <v>45</v>
      </c>
      <c r="T46" s="8">
        <f>R46-S46</f>
        <v>0</v>
      </c>
      <c r="U46" s="7">
        <v>0</v>
      </c>
      <c r="V46" s="7">
        <v>0</v>
      </c>
    </row>
    <row r="47" spans="1:22" x14ac:dyDescent="0.25">
      <c r="A47" s="6">
        <v>18</v>
      </c>
      <c r="B47" s="6" t="s">
        <v>101</v>
      </c>
      <c r="C47" s="7">
        <v>20225</v>
      </c>
      <c r="D47" s="7">
        <v>1</v>
      </c>
      <c r="E47" s="7">
        <v>1</v>
      </c>
      <c r="F47" s="8">
        <f>E47-D47</f>
        <v>0</v>
      </c>
      <c r="G47" s="7">
        <v>0</v>
      </c>
      <c r="H47" s="7">
        <v>0</v>
      </c>
      <c r="I47" s="8">
        <f>H47-G47</f>
        <v>0</v>
      </c>
      <c r="J47" s="7">
        <v>1</v>
      </c>
      <c r="K47" s="7">
        <v>1</v>
      </c>
      <c r="L47" s="8">
        <f>K47-J47</f>
        <v>0</v>
      </c>
      <c r="M47" s="9">
        <f>IF(C47&gt;0,J47/C47*1000,"")</f>
        <v>0.049443757725587144</v>
      </c>
      <c r="N47" s="9">
        <f>IF(C47&gt;0,K47/C47*1000,"")</f>
        <v>0.049443757725587144</v>
      </c>
      <c r="O47" s="10">
        <f>IF(OR(M47="",N47=""),"",N47-M47)</f>
        <v>0</v>
      </c>
      <c r="P47" s="7">
        <v>1</v>
      </c>
      <c r="Q47" s="7">
        <v>1</v>
      </c>
      <c r="R47" s="7">
        <v>46</v>
      </c>
      <c r="S47" s="7">
        <v>46</v>
      </c>
      <c r="T47" s="8">
        <f>R47-S47</f>
        <v>0</v>
      </c>
      <c r="U47" s="7">
        <v>0</v>
      </c>
      <c r="V47" s="7">
        <v>0</v>
      </c>
    </row>
    <row r="48" spans="1:22" x14ac:dyDescent="0.25">
      <c r="A48" s="6">
        <v>13</v>
      </c>
      <c r="B48" s="6" t="s">
        <v>102</v>
      </c>
      <c r="C48" s="7">
        <v>18500</v>
      </c>
      <c r="D48" s="7">
        <v>2</v>
      </c>
      <c r="E48" s="7">
        <v>2</v>
      </c>
      <c r="F48" s="8">
        <f>E48-D48</f>
        <v>0</v>
      </c>
      <c r="G48" s="7">
        <v>2</v>
      </c>
      <c r="H48" s="7">
        <v>2</v>
      </c>
      <c r="I48" s="8">
        <f>H48-G48</f>
        <v>0</v>
      </c>
      <c r="J48" s="7">
        <v>0</v>
      </c>
      <c r="K48" s="7">
        <v>0</v>
      </c>
      <c r="L48" s="8">
        <f>K48-J48</f>
        <v>0</v>
      </c>
      <c r="M48" s="9">
        <f>IF(C48&gt;0,J48/C48*1000,"")</f>
        <v>0</v>
      </c>
      <c r="N48" s="9">
        <f>IF(C48&gt;0,K48/C48*1000,"")</f>
        <v>0</v>
      </c>
      <c r="O48" s="10">
        <f>IF(OR(M48="",N48=""),"",N48-M48)</f>
        <v>0</v>
      </c>
      <c r="P48" s="7">
        <v>4</v>
      </c>
      <c r="Q48" s="7">
        <v>4</v>
      </c>
      <c r="R48" s="7">
        <v>47</v>
      </c>
      <c r="S48" s="7">
        <v>47</v>
      </c>
      <c r="T48" s="8">
        <f>R48-S48</f>
        <v>0</v>
      </c>
      <c r="U48" s="7">
        <v>0</v>
      </c>
      <c r="V48" s="7">
        <v>0</v>
      </c>
    </row>
    <row r="49" spans="1:22" x14ac:dyDescent="0.25">
      <c r="A49" s="6">
        <v>10</v>
      </c>
      <c r="B49" s="6" t="s">
        <v>103</v>
      </c>
      <c r="C49" s="7">
        <v>17638</v>
      </c>
      <c r="D49" s="7">
        <v>1</v>
      </c>
      <c r="E49" s="7">
        <v>1</v>
      </c>
      <c r="F49" s="8">
        <f>E49-D49</f>
        <v>0</v>
      </c>
      <c r="G49" s="7">
        <v>2</v>
      </c>
      <c r="H49" s="7">
        <v>2</v>
      </c>
      <c r="I49" s="8">
        <f>H49-G49</f>
        <v>0</v>
      </c>
      <c r="J49" s="7">
        <v>-1</v>
      </c>
      <c r="K49" s="7">
        <v>-1</v>
      </c>
      <c r="L49" s="8">
        <f>K49-J49</f>
        <v>0</v>
      </c>
      <c r="M49" s="9">
        <f>IF(C49&gt;0,J49/C49*1000,"")</f>
        <v>-0.05669577049552103</v>
      </c>
      <c r="N49" s="9">
        <f>IF(C49&gt;0,K49/C49*1000,"")</f>
        <v>-0.05669577049552103</v>
      </c>
      <c r="O49" s="10">
        <f>IF(OR(M49="",N49=""),"",N49-M49)</f>
        <v>0</v>
      </c>
      <c r="P49" s="7">
        <v>2</v>
      </c>
      <c r="Q49" s="7">
        <v>2</v>
      </c>
      <c r="R49" s="7">
        <v>48</v>
      </c>
      <c r="S49" s="7">
        <v>48</v>
      </c>
      <c r="T49" s="8">
        <f>R49-S49</f>
        <v>0</v>
      </c>
      <c r="U49" s="7">
        <v>6</v>
      </c>
      <c r="V49" s="7">
        <v>6</v>
      </c>
    </row>
    <row r="50" spans="1:22" x14ac:dyDescent="0.25">
      <c r="A50" s="6">
        <v>23</v>
      </c>
      <c r="B50" s="6" t="s">
        <v>104</v>
      </c>
      <c r="C50" s="7">
        <v>16232</v>
      </c>
      <c r="D50" s="7">
        <v>1</v>
      </c>
      <c r="E50" s="7">
        <v>1</v>
      </c>
      <c r="F50" s="8">
        <f>E50-D50</f>
        <v>0</v>
      </c>
      <c r="G50" s="7">
        <v>2</v>
      </c>
      <c r="H50" s="7">
        <v>2</v>
      </c>
      <c r="I50" s="8">
        <f>H50-G50</f>
        <v>0</v>
      </c>
      <c r="J50" s="7">
        <v>-1</v>
      </c>
      <c r="K50" s="7">
        <v>-1</v>
      </c>
      <c r="L50" s="8">
        <f>K50-J50</f>
        <v>0</v>
      </c>
      <c r="M50" s="9">
        <f>IF(C50&gt;0,J50/C50*1000,"")</f>
        <v>-0.061606702809265654</v>
      </c>
      <c r="N50" s="9">
        <f>IF(C50&gt;0,K50/C50*1000,"")</f>
        <v>-0.061606702809265654</v>
      </c>
      <c r="O50" s="10">
        <f>IF(OR(M50="",N50=""),"",N50-M50)</f>
        <v>0</v>
      </c>
      <c r="P50" s="7">
        <v>2</v>
      </c>
      <c r="Q50" s="7">
        <v>2</v>
      </c>
      <c r="R50" s="7">
        <v>49</v>
      </c>
      <c r="S50" s="7">
        <v>49</v>
      </c>
      <c r="T50" s="8">
        <f>R50-S50</f>
        <v>0</v>
      </c>
      <c r="U50" s="7">
        <v>0</v>
      </c>
      <c r="V50" s="7">
        <v>0</v>
      </c>
    </row>
    <row r="51" spans="1:22" x14ac:dyDescent="0.25">
      <c r="A51" s="6">
        <v>5</v>
      </c>
      <c r="B51" s="6" t="s">
        <v>105</v>
      </c>
      <c r="C51" s="7">
        <v>30778</v>
      </c>
      <c r="D51" s="7">
        <v>1</v>
      </c>
      <c r="E51" s="7">
        <v>1</v>
      </c>
      <c r="F51" s="8">
        <f>E51-D51</f>
        <v>0</v>
      </c>
      <c r="G51" s="7">
        <v>5</v>
      </c>
      <c r="H51" s="7">
        <v>5</v>
      </c>
      <c r="I51" s="8">
        <f>H51-G51</f>
        <v>0</v>
      </c>
      <c r="J51" s="7">
        <v>-4</v>
      </c>
      <c r="K51" s="7">
        <v>-4</v>
      </c>
      <c r="L51" s="8">
        <f>K51-J51</f>
        <v>0</v>
      </c>
      <c r="M51" s="9">
        <f>IF(C51&gt;0,J51/C51*1000,"")</f>
        <v>-0.12996296055624146</v>
      </c>
      <c r="N51" s="9">
        <f>IF(C51&gt;0,K51/C51*1000,"")</f>
        <v>-0.12996296055624146</v>
      </c>
      <c r="O51" s="10">
        <f>IF(OR(M51="",N51=""),"",N51-M51)</f>
        <v>0</v>
      </c>
      <c r="P51" s="7">
        <v>5</v>
      </c>
      <c r="Q51" s="7">
        <v>5</v>
      </c>
      <c r="R51" s="7">
        <v>50</v>
      </c>
      <c r="S51" s="7">
        <v>50</v>
      </c>
      <c r="T51" s="8">
        <f>R51-S51</f>
        <v>0</v>
      </c>
      <c r="U51" s="7">
        <v>3</v>
      </c>
      <c r="V51" s="7">
        <v>3</v>
      </c>
    </row>
    <row r="52" spans="1:22" x14ac:dyDescent="0.25">
      <c r="A52" s="12" t="s">
        <v>10</v>
      </c>
      <c r="B52" s="12" t="s">
        <v>106</v>
      </c>
      <c r="C52" s="13">
        <f>SUM(C2:C51)</f>
        <v>1295960</v>
      </c>
      <c r="D52" s="13">
        <f>SUM(D2:D51)</f>
        <v>4953</v>
      </c>
      <c r="E52" s="13">
        <f>SUM(E2:E51)</f>
        <v>4953</v>
      </c>
      <c r="F52" s="14">
        <f>E52-D52</f>
        <v>0</v>
      </c>
      <c r="G52" s="13">
        <f>SUM(G2:G51)</f>
        <v>628</v>
      </c>
      <c r="H52" s="13">
        <f>SUM(H2:H51)</f>
        <v>628</v>
      </c>
      <c r="I52" s="14">
        <f>H52-G52</f>
        <v>0</v>
      </c>
      <c r="J52" s="13">
        <f>SUM(J2:J51)</f>
        <v>4325</v>
      </c>
      <c r="K52" s="13">
        <f>SUM(K2:K51)</f>
        <v>4325</v>
      </c>
      <c r="L52" s="14">
        <f>K52-J52</f>
        <v>0</v>
      </c>
      <c r="M52" s="15">
        <f>IF(C52&gt;0,J52/C52*1000,"")</f>
        <v>3.337294360937066</v>
      </c>
      <c r="N52" s="15">
        <f>IF(C52&gt;0,K52/C52*1000,"")</f>
        <v>3.337294360937066</v>
      </c>
      <c r="O52" s="16">
        <f>IF(OR(M52="",N52=""),"",N52-M52)</f>
        <v>0</v>
      </c>
      <c r="P52" s="13">
        <f>SUM(P2:P51)</f>
        <v>1138</v>
      </c>
      <c r="Q52" s="13">
        <f>SUM(Q2:Q51)</f>
        <v>1138</v>
      </c>
      <c r="R52" s="13" t="s">
        <v>106</v>
      </c>
      <c r="S52" s="13" t="s">
        <v>106</v>
      </c>
      <c r="T52" s="13" t="s">
        <v>106</v>
      </c>
      <c r="U52" s="13">
        <f>SUM(U2:U51)</f>
        <v>246</v>
      </c>
      <c r="V52" s="13">
        <f>SUM(V2:V51)</f>
        <v>246</v>
      </c>
    </row>
  </sheetData>
  <autoFilter ref="A1:V51"/>
  <conditionalFormatting sqref="F2:F52">
    <cfRule type="cellIs" dxfId="24" priority="1" operator="greaterThan">
      <formula>0</formula>
    </cfRule>
    <cfRule type="cellIs" dxfId="25" priority="2" operator="lessThan">
      <formula>0</formula>
    </cfRule>
  </conditionalFormatting>
  <conditionalFormatting sqref="I2:I52">
    <cfRule type="cellIs" dxfId="26" priority="1" operator="greaterThan">
      <formula>0</formula>
    </cfRule>
    <cfRule type="cellIs" dxfId="27" priority="2" operator="lessThan">
      <formula>0</formula>
    </cfRule>
  </conditionalFormatting>
  <conditionalFormatting sqref="L2:L52">
    <cfRule type="cellIs" dxfId="28" priority="1" operator="greaterThan">
      <formula>0</formula>
    </cfRule>
    <cfRule type="cellIs" dxfId="29" priority="2" operator="lessThan">
      <formula>0</formula>
    </cfRule>
  </conditionalFormatting>
  <conditionalFormatting sqref="O2:O52">
    <cfRule type="cellIs" dxfId="30" priority="1" operator="greaterThan">
      <formula>0</formula>
    </cfRule>
    <cfRule type="cellIs" dxfId="31" priority="2" operator="lessThan">
      <formula>0</formula>
    </cfRule>
  </conditionalFormatting>
  <conditionalFormatting sqref="T2:T51">
    <cfRule type="cellIs" dxfId="32" priority="1" operator="greaterThan">
      <formula>0</formula>
    </cfRule>
    <cfRule type="cellIs" dxfId="33" priority="2" operator="lessThan">
      <formula>0</formula>
    </cfRule>
  </conditionalFormatting>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2"/>
  <sheetViews>
    <sheetView workbookViewId="0">
      <pane xSplit="2" ySplit="1" topLeftCell="C2" activePane="bottomRight" state="frozen"/>
      <selection pane="bottomRight"/>
    </sheetView>
  </sheetViews>
  <sheetFormatPr defaultRowHeight="15" outlineLevelRow="0" outlineLevelCol="0" x14ac:dyDescent="55"/>
  <cols>
    <col min="1" max="1" width="7" customWidth="1"/>
    <col min="2" max="2" width="24" customWidth="1"/>
    <col min="3" max="22" width="12" customWidth="1"/>
  </cols>
  <sheetData>
    <row r="1" ht="30" customHeight="1" spans="1:22" x14ac:dyDescent="0.25">
      <c r="A1" s="5" t="s">
        <v>34</v>
      </c>
      <c r="B1" s="5" t="s">
        <v>35</v>
      </c>
      <c r="C1" s="5" t="s">
        <v>36</v>
      </c>
      <c r="D1" s="5" t="s">
        <v>37</v>
      </c>
      <c r="E1" s="5" t="s">
        <v>38</v>
      </c>
      <c r="F1" s="5" t="s">
        <v>39</v>
      </c>
      <c r="G1" s="5" t="s">
        <v>40</v>
      </c>
      <c r="H1" s="5" t="s">
        <v>41</v>
      </c>
      <c r="I1" s="5" t="s">
        <v>42</v>
      </c>
      <c r="J1" s="5" t="s">
        <v>43</v>
      </c>
      <c r="K1" s="5" t="s">
        <v>44</v>
      </c>
      <c r="L1" s="5" t="s">
        <v>45</v>
      </c>
      <c r="M1" s="5" t="s">
        <v>46</v>
      </c>
      <c r="N1" s="5" t="s">
        <v>47</v>
      </c>
      <c r="O1" s="5" t="s">
        <v>48</v>
      </c>
      <c r="P1" s="5" t="s">
        <v>49</v>
      </c>
      <c r="Q1" s="5" t="s">
        <v>50</v>
      </c>
      <c r="R1" s="5" t="s">
        <v>51</v>
      </c>
      <c r="S1" s="5" t="s">
        <v>52</v>
      </c>
      <c r="T1" s="5" t="s">
        <v>53</v>
      </c>
      <c r="U1" s="5" t="s">
        <v>54</v>
      </c>
      <c r="V1" s="5" t="s">
        <v>55</v>
      </c>
    </row>
    <row r="2" spans="1:22" x14ac:dyDescent="0.25">
      <c r="A2" s="6">
        <v>27</v>
      </c>
      <c r="B2" s="6" t="s">
        <v>56</v>
      </c>
      <c r="C2" s="7">
        <v>33867</v>
      </c>
      <c r="D2" s="7">
        <v>2763</v>
      </c>
      <c r="E2" s="7">
        <v>2763</v>
      </c>
      <c r="F2" s="8">
        <f>E2-D2</f>
        <v>0</v>
      </c>
      <c r="G2" s="7">
        <v>38</v>
      </c>
      <c r="H2" s="7">
        <v>38</v>
      </c>
      <c r="I2" s="8">
        <f>H2-G2</f>
        <v>0</v>
      </c>
      <c r="J2" s="7">
        <v>2725</v>
      </c>
      <c r="K2" s="7">
        <v>2725</v>
      </c>
      <c r="L2" s="8">
        <f>K2-J2</f>
        <v>0</v>
      </c>
      <c r="M2" s="9">
        <f>IF(C2&gt;0,J2/C2*1000,"")</f>
        <v>80.46180647828268</v>
      </c>
      <c r="N2" s="9">
        <f>IF(C2&gt;0,K2/C2*1000,"")</f>
        <v>80.46180647828268</v>
      </c>
      <c r="O2" s="10">
        <f>IF(OR(M2="",N2=""),"",N2-M2)</f>
        <v>0</v>
      </c>
      <c r="P2" s="7">
        <v>184</v>
      </c>
      <c r="Q2" s="7">
        <v>184</v>
      </c>
      <c r="R2" s="7">
        <v>1</v>
      </c>
      <c r="S2" s="7">
        <v>1</v>
      </c>
      <c r="T2" s="8">
        <f>R2-S2</f>
        <v>0</v>
      </c>
      <c r="U2" s="7">
        <v>13</v>
      </c>
      <c r="V2" s="7">
        <v>13</v>
      </c>
    </row>
    <row r="3" spans="1:22" x14ac:dyDescent="0.25">
      <c r="A3" s="6">
        <v>3</v>
      </c>
      <c r="B3" s="6" t="s">
        <v>62</v>
      </c>
      <c r="C3" s="7">
        <v>33194</v>
      </c>
      <c r="D3" s="7">
        <v>1069</v>
      </c>
      <c r="E3" s="7">
        <v>1069</v>
      </c>
      <c r="F3" s="8">
        <f>E3-D3</f>
        <v>0</v>
      </c>
      <c r="G3" s="7">
        <v>3</v>
      </c>
      <c r="H3" s="7">
        <v>3</v>
      </c>
      <c r="I3" s="8">
        <f>H3-G3</f>
        <v>0</v>
      </c>
      <c r="J3" s="7">
        <v>1066</v>
      </c>
      <c r="K3" s="7">
        <v>1066</v>
      </c>
      <c r="L3" s="8">
        <f>K3-J3</f>
        <v>0</v>
      </c>
      <c r="M3" s="9">
        <f>IF(C3&gt;0,J3/C3*1000,"")</f>
        <v>32.11423751280352</v>
      </c>
      <c r="N3" s="9">
        <f>IF(C3&gt;0,K3/C3*1000,"")</f>
        <v>32.11423751280352</v>
      </c>
      <c r="O3" s="10">
        <f>IF(OR(M3="",N3=""),"",N3-M3)</f>
        <v>0</v>
      </c>
      <c r="P3" s="7">
        <v>110</v>
      </c>
      <c r="Q3" s="7">
        <v>110</v>
      </c>
      <c r="R3" s="7">
        <v>2</v>
      </c>
      <c r="S3" s="7">
        <v>2</v>
      </c>
      <c r="T3" s="8">
        <f>R3-S3</f>
        <v>0</v>
      </c>
      <c r="U3" s="7">
        <v>9</v>
      </c>
      <c r="V3" s="7">
        <v>9</v>
      </c>
    </row>
    <row r="4" spans="1:22" x14ac:dyDescent="0.25">
      <c r="A4" s="6">
        <v>34</v>
      </c>
      <c r="B4" s="6" t="s">
        <v>57</v>
      </c>
      <c r="C4" s="7">
        <v>42742</v>
      </c>
      <c r="D4" s="7">
        <v>1372</v>
      </c>
      <c r="E4" s="7">
        <v>1372</v>
      </c>
      <c r="F4" s="8">
        <f>E4-D4</f>
        <v>0</v>
      </c>
      <c r="G4" s="7">
        <v>18</v>
      </c>
      <c r="H4" s="7">
        <v>18</v>
      </c>
      <c r="I4" s="8">
        <f>H4-G4</f>
        <v>0</v>
      </c>
      <c r="J4" s="7">
        <v>1354</v>
      </c>
      <c r="K4" s="7">
        <v>1354</v>
      </c>
      <c r="L4" s="8">
        <f>K4-J4</f>
        <v>0</v>
      </c>
      <c r="M4" s="9">
        <f>IF(C4&gt;0,J4/C4*1000,"")</f>
        <v>31.67844274952038</v>
      </c>
      <c r="N4" s="9">
        <f>IF(C4&gt;0,K4/C4*1000,"")</f>
        <v>31.67844274952038</v>
      </c>
      <c r="O4" s="10">
        <f>IF(OR(M4="",N4=""),"",N4-M4)</f>
        <v>0</v>
      </c>
      <c r="P4" s="7">
        <v>27</v>
      </c>
      <c r="Q4" s="7">
        <v>27</v>
      </c>
      <c r="R4" s="7">
        <v>3</v>
      </c>
      <c r="S4" s="7">
        <v>3</v>
      </c>
      <c r="T4" s="8">
        <f>R4-S4</f>
        <v>0</v>
      </c>
      <c r="U4" s="7">
        <v>0</v>
      </c>
      <c r="V4" s="7">
        <v>0</v>
      </c>
    </row>
    <row r="5" spans="1:22" x14ac:dyDescent="0.25">
      <c r="A5" s="6">
        <v>28</v>
      </c>
      <c r="B5" s="6" t="s">
        <v>58</v>
      </c>
      <c r="C5" s="7">
        <v>23699</v>
      </c>
      <c r="D5" s="7">
        <v>580</v>
      </c>
      <c r="E5" s="7">
        <v>580</v>
      </c>
      <c r="F5" s="8">
        <f>E5-D5</f>
        <v>0</v>
      </c>
      <c r="G5" s="7">
        <v>13</v>
      </c>
      <c r="H5" s="7">
        <v>13</v>
      </c>
      <c r="I5" s="8">
        <f>H5-G5</f>
        <v>0</v>
      </c>
      <c r="J5" s="7">
        <v>567</v>
      </c>
      <c r="K5" s="7">
        <v>567</v>
      </c>
      <c r="L5" s="8">
        <f>K5-J5</f>
        <v>0</v>
      </c>
      <c r="M5" s="9">
        <f>IF(C5&gt;0,J5/C5*1000,"")</f>
        <v>23.925060129119373</v>
      </c>
      <c r="N5" s="9">
        <f>IF(C5&gt;0,K5/C5*1000,"")</f>
        <v>23.925060129119373</v>
      </c>
      <c r="O5" s="10">
        <f>IF(OR(M5="",N5=""),"",N5-M5)</f>
        <v>0</v>
      </c>
      <c r="P5" s="7">
        <v>104</v>
      </c>
      <c r="Q5" s="7">
        <v>104</v>
      </c>
      <c r="R5" s="7">
        <v>4</v>
      </c>
      <c r="S5" s="7">
        <v>4</v>
      </c>
      <c r="T5" s="8">
        <f>R5-S5</f>
        <v>0</v>
      </c>
      <c r="U5" s="7">
        <v>54</v>
      </c>
      <c r="V5" s="7">
        <v>54</v>
      </c>
    </row>
    <row r="6" spans="1:22" x14ac:dyDescent="0.25">
      <c r="A6" s="6">
        <v>1</v>
      </c>
      <c r="B6" s="6" t="s">
        <v>59</v>
      </c>
      <c r="C6" s="7">
        <v>31159</v>
      </c>
      <c r="D6" s="7">
        <v>768</v>
      </c>
      <c r="E6" s="7">
        <v>768</v>
      </c>
      <c r="F6" s="8">
        <f>E6-D6</f>
        <v>0</v>
      </c>
      <c r="G6" s="7">
        <v>160</v>
      </c>
      <c r="H6" s="7">
        <v>160</v>
      </c>
      <c r="I6" s="8">
        <f>H6-G6</f>
        <v>0</v>
      </c>
      <c r="J6" s="7">
        <v>608</v>
      </c>
      <c r="K6" s="7">
        <v>608</v>
      </c>
      <c r="L6" s="8">
        <f>K6-J6</f>
        <v>0</v>
      </c>
      <c r="M6" s="9">
        <f>IF(C6&gt;0,J6/C6*1000,"")</f>
        <v>19.512821335729644</v>
      </c>
      <c r="N6" s="9">
        <f>IF(C6&gt;0,K6/C6*1000,"")</f>
        <v>19.512821335729644</v>
      </c>
      <c r="O6" s="10">
        <f>IF(OR(M6="",N6=""),"",N6-M6)</f>
        <v>0</v>
      </c>
      <c r="P6" s="7">
        <v>235</v>
      </c>
      <c r="Q6" s="7">
        <v>235</v>
      </c>
      <c r="R6" s="7">
        <v>5</v>
      </c>
      <c r="S6" s="7">
        <v>5</v>
      </c>
      <c r="T6" s="8">
        <f>R6-S6</f>
        <v>0</v>
      </c>
      <c r="U6" s="7">
        <v>0</v>
      </c>
      <c r="V6" s="7">
        <v>0</v>
      </c>
    </row>
    <row r="7" spans="1:22" x14ac:dyDescent="0.25">
      <c r="A7" s="6">
        <v>20</v>
      </c>
      <c r="B7" s="6" t="s">
        <v>67</v>
      </c>
      <c r="C7" s="7">
        <v>23006</v>
      </c>
      <c r="D7" s="7">
        <v>454</v>
      </c>
      <c r="E7" s="7">
        <v>454</v>
      </c>
      <c r="F7" s="8">
        <f>E7-D7</f>
        <v>0</v>
      </c>
      <c r="G7" s="7">
        <v>18</v>
      </c>
      <c r="H7" s="7">
        <v>18</v>
      </c>
      <c r="I7" s="8">
        <f>H7-G7</f>
        <v>0</v>
      </c>
      <c r="J7" s="7">
        <v>436</v>
      </c>
      <c r="K7" s="7">
        <v>436</v>
      </c>
      <c r="L7" s="8">
        <f>K7-J7</f>
        <v>0</v>
      </c>
      <c r="M7" s="9">
        <f>IF(C7&gt;0,J7/C7*1000,"")</f>
        <v>18.951577849256715</v>
      </c>
      <c r="N7" s="9">
        <f>IF(C7&gt;0,K7/C7*1000,"")</f>
        <v>18.951577849256715</v>
      </c>
      <c r="O7" s="10">
        <f>IF(OR(M7="",N7=""),"",N7-M7)</f>
        <v>0</v>
      </c>
      <c r="P7" s="7">
        <v>175</v>
      </c>
      <c r="Q7" s="7">
        <v>175</v>
      </c>
      <c r="R7" s="7">
        <v>6</v>
      </c>
      <c r="S7" s="7">
        <v>6</v>
      </c>
      <c r="T7" s="8">
        <f>R7-S7</f>
        <v>0</v>
      </c>
      <c r="U7" s="7">
        <v>42</v>
      </c>
      <c r="V7" s="7">
        <v>42</v>
      </c>
    </row>
    <row r="8" spans="1:22" x14ac:dyDescent="0.25">
      <c r="A8" s="6">
        <v>24</v>
      </c>
      <c r="B8" s="6" t="s">
        <v>61</v>
      </c>
      <c r="C8" s="7">
        <v>18790</v>
      </c>
      <c r="D8" s="7">
        <v>351</v>
      </c>
      <c r="E8" s="7">
        <v>351</v>
      </c>
      <c r="F8" s="8">
        <f>E8-D8</f>
        <v>0</v>
      </c>
      <c r="G8" s="7">
        <v>18</v>
      </c>
      <c r="H8" s="7">
        <v>18</v>
      </c>
      <c r="I8" s="8">
        <f>H8-G8</f>
        <v>0</v>
      </c>
      <c r="J8" s="7">
        <v>333</v>
      </c>
      <c r="K8" s="7">
        <v>333</v>
      </c>
      <c r="L8" s="8">
        <f>K8-J8</f>
        <v>0</v>
      </c>
      <c r="M8" s="9">
        <f>IF(C8&gt;0,J8/C8*1000,"")</f>
        <v>17.72219265566791</v>
      </c>
      <c r="N8" s="9">
        <f>IF(C8&gt;0,K8/C8*1000,"")</f>
        <v>17.72219265566791</v>
      </c>
      <c r="O8" s="10">
        <f>IF(OR(M8="",N8=""),"",N8-M8)</f>
        <v>0</v>
      </c>
      <c r="P8" s="7">
        <v>156</v>
      </c>
      <c r="Q8" s="7">
        <v>156</v>
      </c>
      <c r="R8" s="7">
        <v>7</v>
      </c>
      <c r="S8" s="7">
        <v>7</v>
      </c>
      <c r="T8" s="8">
        <f>R8-S8</f>
        <v>0</v>
      </c>
      <c r="U8" s="7">
        <v>41</v>
      </c>
      <c r="V8" s="7">
        <v>41</v>
      </c>
    </row>
    <row r="9" spans="1:22" x14ac:dyDescent="0.25">
      <c r="A9" s="6">
        <v>25</v>
      </c>
      <c r="B9" s="6" t="s">
        <v>64</v>
      </c>
      <c r="C9" s="7">
        <v>19836</v>
      </c>
      <c r="D9" s="7">
        <v>370</v>
      </c>
      <c r="E9" s="7">
        <v>370</v>
      </c>
      <c r="F9" s="8">
        <f>E9-D9</f>
        <v>0</v>
      </c>
      <c r="G9" s="7">
        <v>31</v>
      </c>
      <c r="H9" s="7">
        <v>31</v>
      </c>
      <c r="I9" s="8">
        <f>H9-G9</f>
        <v>0</v>
      </c>
      <c r="J9" s="7">
        <v>339</v>
      </c>
      <c r="K9" s="7">
        <v>339</v>
      </c>
      <c r="L9" s="8">
        <f>K9-J9</f>
        <v>0</v>
      </c>
      <c r="M9" s="9">
        <f>IF(C9&gt;0,J9/C9*1000,"")</f>
        <v>17.090139140955838</v>
      </c>
      <c r="N9" s="9">
        <f>IF(C9&gt;0,K9/C9*1000,"")</f>
        <v>17.090139140955838</v>
      </c>
      <c r="O9" s="10">
        <f>IF(OR(M9="",N9=""),"",N9-M9)</f>
        <v>0</v>
      </c>
      <c r="P9" s="7">
        <v>102</v>
      </c>
      <c r="Q9" s="7">
        <v>102</v>
      </c>
      <c r="R9" s="7">
        <v>8</v>
      </c>
      <c r="S9" s="7">
        <v>8</v>
      </c>
      <c r="T9" s="8">
        <f>R9-S9</f>
        <v>0</v>
      </c>
      <c r="U9" s="7">
        <v>8</v>
      </c>
      <c r="V9" s="7">
        <v>8</v>
      </c>
    </row>
    <row r="10" spans="1:22" x14ac:dyDescent="0.25">
      <c r="A10" s="6">
        <v>32</v>
      </c>
      <c r="B10" s="6" t="s">
        <v>60</v>
      </c>
      <c r="C10" s="7">
        <v>27933</v>
      </c>
      <c r="D10" s="7">
        <v>816</v>
      </c>
      <c r="E10" s="7">
        <v>816</v>
      </c>
      <c r="F10" s="8">
        <f>E10-D10</f>
        <v>0</v>
      </c>
      <c r="G10" s="7">
        <v>346</v>
      </c>
      <c r="H10" s="7">
        <v>346</v>
      </c>
      <c r="I10" s="8">
        <f>H10-G10</f>
        <v>0</v>
      </c>
      <c r="J10" s="7">
        <v>470</v>
      </c>
      <c r="K10" s="7">
        <v>470</v>
      </c>
      <c r="L10" s="8">
        <f>K10-J10</f>
        <v>0</v>
      </c>
      <c r="M10" s="9">
        <f>IF(C10&gt;0,J10/C10*1000,"")</f>
        <v>16.82597644363298</v>
      </c>
      <c r="N10" s="9">
        <f>IF(C10&gt;0,K10/C10*1000,"")</f>
        <v>16.82597644363298</v>
      </c>
      <c r="O10" s="10">
        <f>IF(OR(M10="",N10=""),"",N10-M10)</f>
        <v>0</v>
      </c>
      <c r="P10" s="7">
        <v>315</v>
      </c>
      <c r="Q10" s="7">
        <v>315</v>
      </c>
      <c r="R10" s="7">
        <v>9</v>
      </c>
      <c r="S10" s="7">
        <v>9</v>
      </c>
      <c r="T10" s="8">
        <f>R10-S10</f>
        <v>0</v>
      </c>
      <c r="U10" s="7">
        <v>0</v>
      </c>
      <c r="V10" s="7">
        <v>0</v>
      </c>
    </row>
    <row r="11" spans="1:22" x14ac:dyDescent="0.25">
      <c r="A11" s="6">
        <v>26</v>
      </c>
      <c r="B11" s="6" t="s">
        <v>63</v>
      </c>
      <c r="C11" s="7">
        <v>20670</v>
      </c>
      <c r="D11" s="7">
        <v>381</v>
      </c>
      <c r="E11" s="7">
        <v>381</v>
      </c>
      <c r="F11" s="8">
        <f>E11-D11</f>
        <v>0</v>
      </c>
      <c r="G11" s="7">
        <v>44</v>
      </c>
      <c r="H11" s="7">
        <v>44</v>
      </c>
      <c r="I11" s="8">
        <f>H11-G11</f>
        <v>0</v>
      </c>
      <c r="J11" s="7">
        <v>337</v>
      </c>
      <c r="K11" s="7">
        <v>337</v>
      </c>
      <c r="L11" s="8">
        <f>K11-J11</f>
        <v>0</v>
      </c>
      <c r="M11" s="9">
        <f>IF(C11&gt;0,J11/C11*1000,"")</f>
        <v>16.303821964199326</v>
      </c>
      <c r="N11" s="9">
        <f>IF(C11&gt;0,K11/C11*1000,"")</f>
        <v>16.303821964199326</v>
      </c>
      <c r="O11" s="10">
        <f>IF(OR(M11="",N11=""),"",N11-M11)</f>
        <v>0</v>
      </c>
      <c r="P11" s="7">
        <v>90</v>
      </c>
      <c r="Q11" s="7">
        <v>90</v>
      </c>
      <c r="R11" s="7">
        <v>10</v>
      </c>
      <c r="S11" s="7">
        <v>10</v>
      </c>
      <c r="T11" s="8">
        <f>R11-S11</f>
        <v>0</v>
      </c>
      <c r="U11" s="7">
        <v>9</v>
      </c>
      <c r="V11" s="7">
        <v>9</v>
      </c>
    </row>
    <row r="12" spans="1:22" x14ac:dyDescent="0.25">
      <c r="A12" s="6">
        <v>47</v>
      </c>
      <c r="B12" s="6" t="s">
        <v>83</v>
      </c>
      <c r="C12" s="7">
        <v>30483</v>
      </c>
      <c r="D12" s="7">
        <v>765</v>
      </c>
      <c r="E12" s="7">
        <v>765</v>
      </c>
      <c r="F12" s="8">
        <f>E12-D12</f>
        <v>0</v>
      </c>
      <c r="G12" s="7">
        <v>279</v>
      </c>
      <c r="H12" s="7">
        <v>279</v>
      </c>
      <c r="I12" s="8">
        <f>H12-G12</f>
        <v>0</v>
      </c>
      <c r="J12" s="7">
        <v>486</v>
      </c>
      <c r="K12" s="7">
        <v>486</v>
      </c>
      <c r="L12" s="8">
        <f>K12-J12</f>
        <v>0</v>
      </c>
      <c r="M12" s="9">
        <f>IF(C12&gt;0,J12/C12*1000,"")</f>
        <v>15.943312666076174</v>
      </c>
      <c r="N12" s="9">
        <f>IF(C12&gt;0,K12/C12*1000,"")</f>
        <v>15.943312666076174</v>
      </c>
      <c r="O12" s="10">
        <f>IF(OR(M12="",N12=""),"",N12-M12)</f>
        <v>0</v>
      </c>
      <c r="P12" s="7">
        <v>308</v>
      </c>
      <c r="Q12" s="7">
        <v>308</v>
      </c>
      <c r="R12" s="7">
        <v>11</v>
      </c>
      <c r="S12" s="7">
        <v>11</v>
      </c>
      <c r="T12" s="8">
        <f>R12-S12</f>
        <v>0</v>
      </c>
      <c r="U12" s="7">
        <v>4</v>
      </c>
      <c r="V12" s="7">
        <v>4</v>
      </c>
    </row>
    <row r="13" spans="1:22" x14ac:dyDescent="0.25">
      <c r="A13" s="6">
        <v>48</v>
      </c>
      <c r="B13" s="6" t="s">
        <v>66</v>
      </c>
      <c r="C13" s="7">
        <v>33333</v>
      </c>
      <c r="D13" s="7">
        <v>532</v>
      </c>
      <c r="E13" s="7">
        <v>532</v>
      </c>
      <c r="F13" s="8">
        <f>E13-D13</f>
        <v>0</v>
      </c>
      <c r="G13" s="7">
        <v>14</v>
      </c>
      <c r="H13" s="7">
        <v>14</v>
      </c>
      <c r="I13" s="8">
        <f>H13-G13</f>
        <v>0</v>
      </c>
      <c r="J13" s="7">
        <v>518</v>
      </c>
      <c r="K13" s="7">
        <v>518</v>
      </c>
      <c r="L13" s="8">
        <f>K13-J13</f>
        <v>0</v>
      </c>
      <c r="M13" s="9">
        <f>IF(C13&gt;0,J13/C13*1000,"")</f>
        <v>15.540155401554015</v>
      </c>
      <c r="N13" s="9">
        <f>IF(C13&gt;0,K13/C13*1000,"")</f>
        <v>15.540155401554015</v>
      </c>
      <c r="O13" s="10">
        <f>IF(OR(M13="",N13=""),"",N13-M13)</f>
        <v>0</v>
      </c>
      <c r="P13" s="7">
        <v>51</v>
      </c>
      <c r="Q13" s="7">
        <v>51</v>
      </c>
      <c r="R13" s="7">
        <v>12</v>
      </c>
      <c r="S13" s="7">
        <v>12</v>
      </c>
      <c r="T13" s="8">
        <f>R13-S13</f>
        <v>0</v>
      </c>
      <c r="U13" s="7">
        <v>0</v>
      </c>
      <c r="V13" s="7">
        <v>0</v>
      </c>
    </row>
    <row r="14" spans="1:22" x14ac:dyDescent="0.25">
      <c r="A14" s="6">
        <v>42</v>
      </c>
      <c r="B14" s="6" t="s">
        <v>68</v>
      </c>
      <c r="C14" s="7">
        <v>67733</v>
      </c>
      <c r="D14" s="7">
        <v>1047</v>
      </c>
      <c r="E14" s="7">
        <v>1047</v>
      </c>
      <c r="F14" s="8">
        <f>E14-D14</f>
        <v>0</v>
      </c>
      <c r="G14" s="7">
        <v>3</v>
      </c>
      <c r="H14" s="7">
        <v>3</v>
      </c>
      <c r="I14" s="8">
        <f>H14-G14</f>
        <v>0</v>
      </c>
      <c r="J14" s="7">
        <v>1044</v>
      </c>
      <c r="K14" s="7">
        <v>1044</v>
      </c>
      <c r="L14" s="8">
        <f>K14-J14</f>
        <v>0</v>
      </c>
      <c r="M14" s="9">
        <f>IF(C14&gt;0,J14/C14*1000,"")</f>
        <v>15.413461680421657</v>
      </c>
      <c r="N14" s="9">
        <f>IF(C14&gt;0,K14/C14*1000,"")</f>
        <v>15.413461680421657</v>
      </c>
      <c r="O14" s="10">
        <f>IF(OR(M14="",N14=""),"",N14-M14)</f>
        <v>0</v>
      </c>
      <c r="P14" s="7">
        <v>17</v>
      </c>
      <c r="Q14" s="7">
        <v>17</v>
      </c>
      <c r="R14" s="7">
        <v>13</v>
      </c>
      <c r="S14" s="7">
        <v>13</v>
      </c>
      <c r="T14" s="8">
        <f>R14-S14</f>
        <v>0</v>
      </c>
      <c r="U14" s="7">
        <v>0</v>
      </c>
      <c r="V14" s="7">
        <v>0</v>
      </c>
    </row>
    <row r="15" spans="1:22" x14ac:dyDescent="0.25">
      <c r="A15" s="6">
        <v>44</v>
      </c>
      <c r="B15" s="6" t="s">
        <v>72</v>
      </c>
      <c r="C15" s="7">
        <v>36248</v>
      </c>
      <c r="D15" s="7">
        <v>462</v>
      </c>
      <c r="E15" s="7">
        <v>462</v>
      </c>
      <c r="F15" s="8">
        <f>E15-D15</f>
        <v>0</v>
      </c>
      <c r="G15" s="7">
        <v>139</v>
      </c>
      <c r="H15" s="7">
        <v>139</v>
      </c>
      <c r="I15" s="8">
        <f>H15-G15</f>
        <v>0</v>
      </c>
      <c r="J15" s="7">
        <v>323</v>
      </c>
      <c r="K15" s="7">
        <v>323</v>
      </c>
      <c r="L15" s="8">
        <f>K15-J15</f>
        <v>0</v>
      </c>
      <c r="M15" s="9">
        <f>IF(C15&gt;0,J15/C15*1000,"")</f>
        <v>8.910836459942617</v>
      </c>
      <c r="N15" s="9">
        <f>IF(C15&gt;0,K15/C15*1000,"")</f>
        <v>8.910836459942617</v>
      </c>
      <c r="O15" s="10">
        <f>IF(OR(M15="",N15=""),"",N15-M15)</f>
        <v>0</v>
      </c>
      <c r="P15" s="7">
        <v>129</v>
      </c>
      <c r="Q15" s="7">
        <v>129</v>
      </c>
      <c r="R15" s="7">
        <v>14</v>
      </c>
      <c r="S15" s="7">
        <v>14</v>
      </c>
      <c r="T15" s="8">
        <f>R15-S15</f>
        <v>0</v>
      </c>
      <c r="U15" s="7">
        <v>0</v>
      </c>
      <c r="V15" s="7">
        <v>0</v>
      </c>
    </row>
    <row r="16" spans="1:22" x14ac:dyDescent="0.25">
      <c r="A16" s="6">
        <v>46</v>
      </c>
      <c r="B16" s="6" t="s">
        <v>65</v>
      </c>
      <c r="C16" s="7">
        <v>36269</v>
      </c>
      <c r="D16" s="7">
        <v>333</v>
      </c>
      <c r="E16" s="7">
        <v>333</v>
      </c>
      <c r="F16" s="8">
        <f>E16-D16</f>
        <v>0</v>
      </c>
      <c r="G16" s="7">
        <v>18</v>
      </c>
      <c r="H16" s="7">
        <v>18</v>
      </c>
      <c r="I16" s="8">
        <f>H16-G16</f>
        <v>0</v>
      </c>
      <c r="J16" s="7">
        <v>315</v>
      </c>
      <c r="K16" s="7">
        <v>315</v>
      </c>
      <c r="L16" s="8">
        <f>K16-J16</f>
        <v>0</v>
      </c>
      <c r="M16" s="9">
        <f>IF(C16&gt;0,J16/C16*1000,"")</f>
        <v>8.68510298050677</v>
      </c>
      <c r="N16" s="9">
        <f>IF(C16&gt;0,K16/C16*1000,"")</f>
        <v>8.68510298050677</v>
      </c>
      <c r="O16" s="10">
        <f>IF(OR(M16="",N16=""),"",N16-M16)</f>
        <v>0</v>
      </c>
      <c r="P16" s="7">
        <v>31</v>
      </c>
      <c r="Q16" s="7">
        <v>31</v>
      </c>
      <c r="R16" s="7">
        <v>15</v>
      </c>
      <c r="S16" s="7">
        <v>15</v>
      </c>
      <c r="T16" s="8">
        <f>R16-S16</f>
        <v>0</v>
      </c>
      <c r="U16" s="7">
        <v>0</v>
      </c>
      <c r="V16" s="7">
        <v>0</v>
      </c>
    </row>
    <row r="17" spans="1:22" x14ac:dyDescent="0.25">
      <c r="A17" s="6">
        <v>43</v>
      </c>
      <c r="B17" s="6" t="s">
        <v>80</v>
      </c>
      <c r="C17" s="7">
        <v>34360</v>
      </c>
      <c r="D17" s="7">
        <v>423</v>
      </c>
      <c r="E17" s="7">
        <v>423</v>
      </c>
      <c r="F17" s="8">
        <f>E17-D17</f>
        <v>0</v>
      </c>
      <c r="G17" s="7">
        <v>158</v>
      </c>
      <c r="H17" s="7">
        <v>158</v>
      </c>
      <c r="I17" s="8">
        <f>H17-G17</f>
        <v>0</v>
      </c>
      <c r="J17" s="7">
        <v>265</v>
      </c>
      <c r="K17" s="7">
        <v>265</v>
      </c>
      <c r="L17" s="8">
        <f>K17-J17</f>
        <v>0</v>
      </c>
      <c r="M17" s="9">
        <f>IF(C17&gt;0,J17/C17*1000,"")</f>
        <v>7.7124563445867285</v>
      </c>
      <c r="N17" s="9">
        <f>IF(C17&gt;0,K17/C17*1000,"")</f>
        <v>7.7124563445867285</v>
      </c>
      <c r="O17" s="10">
        <f>IF(OR(M17="",N17=""),"",N17-M17)</f>
        <v>0</v>
      </c>
      <c r="P17" s="7">
        <v>146</v>
      </c>
      <c r="Q17" s="7">
        <v>146</v>
      </c>
      <c r="R17" s="7">
        <v>16</v>
      </c>
      <c r="S17" s="7">
        <v>16</v>
      </c>
      <c r="T17" s="8">
        <f>R17-S17</f>
        <v>0</v>
      </c>
      <c r="U17" s="7">
        <v>0</v>
      </c>
      <c r="V17" s="7">
        <v>0</v>
      </c>
    </row>
    <row r="18" spans="1:22" x14ac:dyDescent="0.25">
      <c r="A18" s="6">
        <v>2</v>
      </c>
      <c r="B18" s="6" t="s">
        <v>85</v>
      </c>
      <c r="C18" s="7">
        <v>50289</v>
      </c>
      <c r="D18" s="7">
        <v>405</v>
      </c>
      <c r="E18" s="7">
        <v>405</v>
      </c>
      <c r="F18" s="8">
        <f>E18-D18</f>
        <v>0</v>
      </c>
      <c r="G18" s="7">
        <v>56</v>
      </c>
      <c r="H18" s="7">
        <v>56</v>
      </c>
      <c r="I18" s="8">
        <f>H18-G18</f>
        <v>0</v>
      </c>
      <c r="J18" s="7">
        <v>349</v>
      </c>
      <c r="K18" s="7">
        <v>349</v>
      </c>
      <c r="L18" s="8">
        <f>K18-J18</f>
        <v>0</v>
      </c>
      <c r="M18" s="9">
        <f>IF(C18&gt;0,J18/C18*1000,"")</f>
        <v>6.9398874505359025</v>
      </c>
      <c r="N18" s="9">
        <f>IF(C18&gt;0,K18/C18*1000,"")</f>
        <v>6.9398874505359025</v>
      </c>
      <c r="O18" s="10">
        <f>IF(OR(M18="",N18=""),"",N18-M18)</f>
        <v>0</v>
      </c>
      <c r="P18" s="7">
        <v>51</v>
      </c>
      <c r="Q18" s="7">
        <v>51</v>
      </c>
      <c r="R18" s="7">
        <v>17</v>
      </c>
      <c r="S18" s="7">
        <v>17</v>
      </c>
      <c r="T18" s="8">
        <f>R18-S18</f>
        <v>0</v>
      </c>
      <c r="U18" s="7">
        <v>0</v>
      </c>
      <c r="V18" s="7">
        <v>0</v>
      </c>
    </row>
    <row r="19" spans="1:22" x14ac:dyDescent="0.25">
      <c r="A19" s="6">
        <v>11</v>
      </c>
      <c r="B19" s="6" t="s">
        <v>74</v>
      </c>
      <c r="C19" s="7">
        <v>20473</v>
      </c>
      <c r="D19" s="7">
        <v>176</v>
      </c>
      <c r="E19" s="7">
        <v>176</v>
      </c>
      <c r="F19" s="8">
        <f>E19-D19</f>
        <v>0</v>
      </c>
      <c r="G19" s="7">
        <v>44</v>
      </c>
      <c r="H19" s="7">
        <v>43</v>
      </c>
      <c r="I19" s="8">
        <f>H19-G19</f>
        <v>-1</v>
      </c>
      <c r="J19" s="7">
        <v>132</v>
      </c>
      <c r="K19" s="7">
        <v>133</v>
      </c>
      <c r="L19" s="8">
        <f>K19-J19</f>
        <v>1</v>
      </c>
      <c r="M19" s="9">
        <f>IF(C19&gt;0,J19/C19*1000,"")</f>
        <v>6.447516240902653</v>
      </c>
      <c r="N19" s="9">
        <f>IF(C19&gt;0,K19/C19*1000,"")</f>
        <v>6.496361060909491</v>
      </c>
      <c r="O19" s="10">
        <f>IF(OR(M19="",N19=""),"",N19-M19)</f>
        <v>0.04884482000683832</v>
      </c>
      <c r="P19" s="7">
        <v>97</v>
      </c>
      <c r="Q19" s="7">
        <v>97</v>
      </c>
      <c r="R19" s="7">
        <v>18</v>
      </c>
      <c r="S19" s="7">
        <v>18</v>
      </c>
      <c r="T19" s="8">
        <f>R19-S19</f>
        <v>0</v>
      </c>
      <c r="U19" s="7">
        <v>8</v>
      </c>
      <c r="V19" s="7">
        <v>8</v>
      </c>
    </row>
    <row r="20" spans="1:22" x14ac:dyDescent="0.25">
      <c r="A20" s="6">
        <v>36</v>
      </c>
      <c r="B20" s="6" t="s">
        <v>79</v>
      </c>
      <c r="C20" s="7">
        <v>20764</v>
      </c>
      <c r="D20" s="7">
        <v>232</v>
      </c>
      <c r="E20" s="7">
        <v>232</v>
      </c>
      <c r="F20" s="8">
        <f>E20-D20</f>
        <v>0</v>
      </c>
      <c r="G20" s="7">
        <v>103</v>
      </c>
      <c r="H20" s="7">
        <v>103</v>
      </c>
      <c r="I20" s="8">
        <f>H20-G20</f>
        <v>0</v>
      </c>
      <c r="J20" s="7">
        <v>129</v>
      </c>
      <c r="K20" s="7">
        <v>129</v>
      </c>
      <c r="L20" s="8">
        <f>K20-J20</f>
        <v>0</v>
      </c>
      <c r="M20" s="9">
        <f>IF(C20&gt;0,J20/C20*1000,"")</f>
        <v>6.212675785012522</v>
      </c>
      <c r="N20" s="9">
        <f>IF(C20&gt;0,K20/C20*1000,"")</f>
        <v>6.212675785012522</v>
      </c>
      <c r="O20" s="10">
        <f>IF(OR(M20="",N20=""),"",N20-M20)</f>
        <v>0</v>
      </c>
      <c r="P20" s="7">
        <v>127</v>
      </c>
      <c r="Q20" s="7">
        <v>127</v>
      </c>
      <c r="R20" s="7">
        <v>19</v>
      </c>
      <c r="S20" s="7">
        <v>19</v>
      </c>
      <c r="T20" s="8">
        <f>R20-S20</f>
        <v>0</v>
      </c>
      <c r="U20" s="7">
        <v>2</v>
      </c>
      <c r="V20" s="7">
        <v>2</v>
      </c>
    </row>
    <row r="21" spans="1:22" x14ac:dyDescent="0.25">
      <c r="A21" s="6">
        <v>22</v>
      </c>
      <c r="B21" s="6" t="s">
        <v>86</v>
      </c>
      <c r="C21" s="7">
        <v>14305</v>
      </c>
      <c r="D21" s="7">
        <v>93</v>
      </c>
      <c r="E21" s="7">
        <v>93</v>
      </c>
      <c r="F21" s="8">
        <f>E21-D21</f>
        <v>0</v>
      </c>
      <c r="G21" s="7">
        <v>7</v>
      </c>
      <c r="H21" s="7">
        <v>7</v>
      </c>
      <c r="I21" s="8">
        <f>H21-G21</f>
        <v>0</v>
      </c>
      <c r="J21" s="7">
        <v>86</v>
      </c>
      <c r="K21" s="7">
        <v>86</v>
      </c>
      <c r="L21" s="8">
        <f>K21-J21</f>
        <v>0</v>
      </c>
      <c r="M21" s="9">
        <f>IF(C21&gt;0,J21/C21*1000,"")</f>
        <v>6.011883956658511</v>
      </c>
      <c r="N21" s="9">
        <f>IF(C21&gt;0,K21/C21*1000,"")</f>
        <v>6.011883956658511</v>
      </c>
      <c r="O21" s="10">
        <f>IF(OR(M21="",N21=""),"",N21-M21)</f>
        <v>0</v>
      </c>
      <c r="P21" s="7">
        <v>19</v>
      </c>
      <c r="Q21" s="7">
        <v>19</v>
      </c>
      <c r="R21" s="7">
        <v>20</v>
      </c>
      <c r="S21" s="7">
        <v>20</v>
      </c>
      <c r="T21" s="8">
        <f>R21-S21</f>
        <v>0</v>
      </c>
      <c r="U21" s="7">
        <v>10</v>
      </c>
      <c r="V21" s="7">
        <v>10</v>
      </c>
    </row>
    <row r="22" spans="1:22" x14ac:dyDescent="0.25">
      <c r="A22" s="6">
        <v>33</v>
      </c>
      <c r="B22" s="6" t="s">
        <v>82</v>
      </c>
      <c r="C22" s="7">
        <v>21804</v>
      </c>
      <c r="D22" s="7">
        <v>179</v>
      </c>
      <c r="E22" s="7">
        <v>179</v>
      </c>
      <c r="F22" s="8">
        <f>E22-D22</f>
        <v>0</v>
      </c>
      <c r="G22" s="7">
        <v>50</v>
      </c>
      <c r="H22" s="7">
        <v>50</v>
      </c>
      <c r="I22" s="8">
        <f>H22-G22</f>
        <v>0</v>
      </c>
      <c r="J22" s="7">
        <v>129</v>
      </c>
      <c r="K22" s="7">
        <v>129</v>
      </c>
      <c r="L22" s="8">
        <f>K22-J22</f>
        <v>0</v>
      </c>
      <c r="M22" s="9">
        <f>IF(C22&gt;0,J22/C22*1000,"")</f>
        <v>5.916345624656026</v>
      </c>
      <c r="N22" s="9">
        <f>IF(C22&gt;0,K22/C22*1000,"")</f>
        <v>5.916345624656026</v>
      </c>
      <c r="O22" s="10">
        <f>IF(OR(M22="",N22=""),"",N22-M22)</f>
        <v>0</v>
      </c>
      <c r="P22" s="7">
        <v>90</v>
      </c>
      <c r="Q22" s="7">
        <v>90</v>
      </c>
      <c r="R22" s="7">
        <v>21</v>
      </c>
      <c r="S22" s="7">
        <v>21</v>
      </c>
      <c r="T22" s="8">
        <f>R22-S22</f>
        <v>0</v>
      </c>
      <c r="U22" s="7">
        <v>1</v>
      </c>
      <c r="V22" s="7">
        <v>1</v>
      </c>
    </row>
    <row r="23" spans="1:22" x14ac:dyDescent="0.25">
      <c r="A23" s="6">
        <v>4</v>
      </c>
      <c r="B23" s="6" t="s">
        <v>70</v>
      </c>
      <c r="C23" s="7">
        <v>39515</v>
      </c>
      <c r="D23" s="7">
        <v>232</v>
      </c>
      <c r="E23" s="7">
        <v>232</v>
      </c>
      <c r="F23" s="8">
        <f>E23-D23</f>
        <v>0</v>
      </c>
      <c r="G23" s="7">
        <v>7</v>
      </c>
      <c r="H23" s="7">
        <v>7</v>
      </c>
      <c r="I23" s="8">
        <f>H23-G23</f>
        <v>0</v>
      </c>
      <c r="J23" s="7">
        <v>225</v>
      </c>
      <c r="K23" s="7">
        <v>225</v>
      </c>
      <c r="L23" s="8">
        <f>K23-J23</f>
        <v>0</v>
      </c>
      <c r="M23" s="9">
        <f>IF(C23&gt;0,J23/C23*1000,"")</f>
        <v>5.694040237884348</v>
      </c>
      <c r="N23" s="9">
        <f>IF(C23&gt;0,K23/C23*1000,"")</f>
        <v>5.694040237884348</v>
      </c>
      <c r="O23" s="10">
        <f>IF(OR(M23="",N23=""),"",N23-M23)</f>
        <v>0</v>
      </c>
      <c r="P23" s="7">
        <v>58</v>
      </c>
      <c r="Q23" s="7">
        <v>58</v>
      </c>
      <c r="R23" s="7">
        <v>22</v>
      </c>
      <c r="S23" s="7">
        <v>22</v>
      </c>
      <c r="T23" s="8">
        <f>R23-S23</f>
        <v>0</v>
      </c>
      <c r="U23" s="7">
        <v>4</v>
      </c>
      <c r="V23" s="7">
        <v>4</v>
      </c>
    </row>
    <row r="24" spans="1:22" x14ac:dyDescent="0.25">
      <c r="A24" s="6">
        <v>40</v>
      </c>
      <c r="B24" s="6" t="s">
        <v>69</v>
      </c>
      <c r="C24" s="7">
        <v>25591</v>
      </c>
      <c r="D24" s="7">
        <v>205</v>
      </c>
      <c r="E24" s="7">
        <v>205</v>
      </c>
      <c r="F24" s="8">
        <f>E24-D24</f>
        <v>0</v>
      </c>
      <c r="G24" s="7">
        <v>62</v>
      </c>
      <c r="H24" s="7">
        <v>62</v>
      </c>
      <c r="I24" s="8">
        <f>H24-G24</f>
        <v>0</v>
      </c>
      <c r="J24" s="7">
        <v>143</v>
      </c>
      <c r="K24" s="7">
        <v>143</v>
      </c>
      <c r="L24" s="8">
        <f>K24-J24</f>
        <v>0</v>
      </c>
      <c r="M24" s="9">
        <f>IF(C24&gt;0,J24/C24*1000,"")</f>
        <v>5.587901996795749</v>
      </c>
      <c r="N24" s="9">
        <f>IF(C24&gt;0,K24/C24*1000,"")</f>
        <v>5.587901996795749</v>
      </c>
      <c r="O24" s="10">
        <f>IF(OR(M24="",N24=""),"",N24-M24)</f>
        <v>0</v>
      </c>
      <c r="P24" s="7">
        <v>109</v>
      </c>
      <c r="Q24" s="7">
        <v>109</v>
      </c>
      <c r="R24" s="7">
        <v>23</v>
      </c>
      <c r="S24" s="7">
        <v>23</v>
      </c>
      <c r="T24" s="8">
        <f>R24-S24</f>
        <v>0</v>
      </c>
      <c r="U24" s="7">
        <v>0</v>
      </c>
      <c r="V24" s="7">
        <v>0</v>
      </c>
    </row>
    <row r="25" spans="1:22" x14ac:dyDescent="0.25">
      <c r="A25" s="6">
        <v>10</v>
      </c>
      <c r="B25" s="6" t="s">
        <v>103</v>
      </c>
      <c r="C25" s="7">
        <v>17638</v>
      </c>
      <c r="D25" s="7">
        <v>89</v>
      </c>
      <c r="E25" s="7">
        <v>89</v>
      </c>
      <c r="F25" s="8">
        <f>E25-D25</f>
        <v>0</v>
      </c>
      <c r="G25" s="7">
        <v>10</v>
      </c>
      <c r="H25" s="7">
        <v>10</v>
      </c>
      <c r="I25" s="8">
        <f>H25-G25</f>
        <v>0</v>
      </c>
      <c r="J25" s="7">
        <v>79</v>
      </c>
      <c r="K25" s="7">
        <v>79</v>
      </c>
      <c r="L25" s="8">
        <f>K25-J25</f>
        <v>0</v>
      </c>
      <c r="M25" s="9">
        <f>IF(C25&gt;0,J25/C25*1000,"")</f>
        <v>4.478965869146162</v>
      </c>
      <c r="N25" s="9">
        <f>IF(C25&gt;0,K25/C25*1000,"")</f>
        <v>4.478965869146162</v>
      </c>
      <c r="O25" s="10">
        <f>IF(OR(M25="",N25=""),"",N25-M25)</f>
        <v>0</v>
      </c>
      <c r="P25" s="7">
        <v>11</v>
      </c>
      <c r="Q25" s="7">
        <v>11</v>
      </c>
      <c r="R25" s="7">
        <v>24</v>
      </c>
      <c r="S25" s="7">
        <v>24</v>
      </c>
      <c r="T25" s="8">
        <f>R25-S25</f>
        <v>0</v>
      </c>
      <c r="U25" s="7">
        <v>26</v>
      </c>
      <c r="V25" s="7">
        <v>26</v>
      </c>
    </row>
    <row r="26" spans="1:22" x14ac:dyDescent="0.25">
      <c r="A26" s="6">
        <v>35</v>
      </c>
      <c r="B26" s="6" t="s">
        <v>81</v>
      </c>
      <c r="C26" s="7">
        <v>23394</v>
      </c>
      <c r="D26" s="7">
        <v>169</v>
      </c>
      <c r="E26" s="7">
        <v>169</v>
      </c>
      <c r="F26" s="8">
        <f>E26-D26</f>
        <v>0</v>
      </c>
      <c r="G26" s="7">
        <v>69</v>
      </c>
      <c r="H26" s="7">
        <v>69</v>
      </c>
      <c r="I26" s="8">
        <f>H26-G26</f>
        <v>0</v>
      </c>
      <c r="J26" s="7">
        <v>100</v>
      </c>
      <c r="K26" s="7">
        <v>100</v>
      </c>
      <c r="L26" s="8">
        <f>K26-J26</f>
        <v>0</v>
      </c>
      <c r="M26" s="9">
        <f>IF(C26&gt;0,J26/C26*1000,"")</f>
        <v>4.274600324869625</v>
      </c>
      <c r="N26" s="9">
        <f>IF(C26&gt;0,K26/C26*1000,"")</f>
        <v>4.274600324869625</v>
      </c>
      <c r="O26" s="10">
        <f>IF(OR(M26="",N26=""),"",N26-M26)</f>
        <v>0</v>
      </c>
      <c r="P26" s="7">
        <v>123</v>
      </c>
      <c r="Q26" s="7">
        <v>123</v>
      </c>
      <c r="R26" s="7">
        <v>25</v>
      </c>
      <c r="S26" s="7">
        <v>25</v>
      </c>
      <c r="T26" s="8">
        <f>R26-S26</f>
        <v>0</v>
      </c>
      <c r="U26" s="7">
        <v>3</v>
      </c>
      <c r="V26" s="7">
        <v>3</v>
      </c>
    </row>
    <row r="27" spans="1:22" x14ac:dyDescent="0.25">
      <c r="A27" s="6">
        <v>30</v>
      </c>
      <c r="B27" s="6" t="s">
        <v>100</v>
      </c>
      <c r="C27" s="7">
        <v>19725</v>
      </c>
      <c r="D27" s="7">
        <v>117</v>
      </c>
      <c r="E27" s="7">
        <v>117</v>
      </c>
      <c r="F27" s="8">
        <f>E27-D27</f>
        <v>0</v>
      </c>
      <c r="G27" s="7">
        <v>36</v>
      </c>
      <c r="H27" s="7">
        <v>36</v>
      </c>
      <c r="I27" s="8">
        <f>H27-G27</f>
        <v>0</v>
      </c>
      <c r="J27" s="7">
        <v>81</v>
      </c>
      <c r="K27" s="7">
        <v>81</v>
      </c>
      <c r="L27" s="8">
        <f>K27-J27</f>
        <v>0</v>
      </c>
      <c r="M27" s="9">
        <f>IF(C27&gt;0,J27/C27*1000,"")</f>
        <v>4.106463878326997</v>
      </c>
      <c r="N27" s="9">
        <f>IF(C27&gt;0,K27/C27*1000,"")</f>
        <v>4.106463878326997</v>
      </c>
      <c r="O27" s="10">
        <f>IF(OR(M27="",N27=""),"",N27-M27)</f>
        <v>0</v>
      </c>
      <c r="P27" s="7">
        <v>56</v>
      </c>
      <c r="Q27" s="7">
        <v>56</v>
      </c>
      <c r="R27" s="7">
        <v>26</v>
      </c>
      <c r="S27" s="7">
        <v>26</v>
      </c>
      <c r="T27" s="8">
        <f>R27-S27</f>
        <v>0</v>
      </c>
      <c r="U27" s="7">
        <v>2</v>
      </c>
      <c r="V27" s="7">
        <v>2</v>
      </c>
    </row>
    <row r="28" spans="1:22" x14ac:dyDescent="0.25">
      <c r="A28" s="6">
        <v>37</v>
      </c>
      <c r="B28" s="6" t="s">
        <v>76</v>
      </c>
      <c r="C28" s="7">
        <v>18601</v>
      </c>
      <c r="D28" s="7">
        <v>89</v>
      </c>
      <c r="E28" s="7">
        <v>89</v>
      </c>
      <c r="F28" s="8">
        <f>E28-D28</f>
        <v>0</v>
      </c>
      <c r="G28" s="7">
        <v>14</v>
      </c>
      <c r="H28" s="7">
        <v>14</v>
      </c>
      <c r="I28" s="8">
        <f>H28-G28</f>
        <v>0</v>
      </c>
      <c r="J28" s="7">
        <v>75</v>
      </c>
      <c r="K28" s="7">
        <v>75</v>
      </c>
      <c r="L28" s="8">
        <f>K28-J28</f>
        <v>0</v>
      </c>
      <c r="M28" s="9">
        <f>IF(C28&gt;0,J28/C28*1000,"")</f>
        <v>4.03204128810279</v>
      </c>
      <c r="N28" s="9">
        <f>IF(C28&gt;0,K28/C28*1000,"")</f>
        <v>4.03204128810279</v>
      </c>
      <c r="O28" s="10">
        <f>IF(OR(M28="",N28=""),"",N28-M28)</f>
        <v>0</v>
      </c>
      <c r="P28" s="7">
        <v>74</v>
      </c>
      <c r="Q28" s="7">
        <v>74</v>
      </c>
      <c r="R28" s="7">
        <v>27</v>
      </c>
      <c r="S28" s="7">
        <v>27</v>
      </c>
      <c r="T28" s="8">
        <f>R28-S28</f>
        <v>0</v>
      </c>
      <c r="U28" s="7">
        <v>20</v>
      </c>
      <c r="V28" s="7">
        <v>20</v>
      </c>
    </row>
    <row r="29" spans="1:22" x14ac:dyDescent="0.25">
      <c r="A29" s="6">
        <v>50</v>
      </c>
      <c r="B29" s="6" t="s">
        <v>91</v>
      </c>
      <c r="C29" s="7">
        <v>19909</v>
      </c>
      <c r="D29" s="7">
        <v>87</v>
      </c>
      <c r="E29" s="7">
        <v>87</v>
      </c>
      <c r="F29" s="8">
        <f>E29-D29</f>
        <v>0</v>
      </c>
      <c r="G29" s="7">
        <v>12</v>
      </c>
      <c r="H29" s="7">
        <v>12</v>
      </c>
      <c r="I29" s="8">
        <f>H29-G29</f>
        <v>0</v>
      </c>
      <c r="J29" s="7">
        <v>75</v>
      </c>
      <c r="K29" s="7">
        <v>75</v>
      </c>
      <c r="L29" s="8">
        <f>K29-J29</f>
        <v>0</v>
      </c>
      <c r="M29" s="9">
        <f>IF(C29&gt;0,J29/C29*1000,"")</f>
        <v>3.7671404892259783</v>
      </c>
      <c r="N29" s="9">
        <f>IF(C29&gt;0,K29/C29*1000,"")</f>
        <v>3.7671404892259783</v>
      </c>
      <c r="O29" s="10">
        <f>IF(OR(M29="",N29=""),"",N29-M29)</f>
        <v>0</v>
      </c>
      <c r="P29" s="7">
        <v>36</v>
      </c>
      <c r="Q29" s="7">
        <v>36</v>
      </c>
      <c r="R29" s="7">
        <v>28</v>
      </c>
      <c r="S29" s="7">
        <v>28</v>
      </c>
      <c r="T29" s="8">
        <f>R29-S29</f>
        <v>0</v>
      </c>
      <c r="U29" s="7">
        <v>0</v>
      </c>
      <c r="V29" s="7">
        <v>0</v>
      </c>
    </row>
    <row r="30" spans="1:22" x14ac:dyDescent="0.25">
      <c r="A30" s="6">
        <v>8</v>
      </c>
      <c r="B30" s="6" t="s">
        <v>93</v>
      </c>
      <c r="C30" s="7">
        <v>27536</v>
      </c>
      <c r="D30" s="7">
        <v>81</v>
      </c>
      <c r="E30" s="7">
        <v>81</v>
      </c>
      <c r="F30" s="8">
        <f>E30-D30</f>
        <v>0</v>
      </c>
      <c r="G30" s="7">
        <v>5</v>
      </c>
      <c r="H30" s="7">
        <v>5</v>
      </c>
      <c r="I30" s="8">
        <f>H30-G30</f>
        <v>0</v>
      </c>
      <c r="J30" s="7">
        <v>76</v>
      </c>
      <c r="K30" s="7">
        <v>76</v>
      </c>
      <c r="L30" s="8">
        <f>K30-J30</f>
        <v>0</v>
      </c>
      <c r="M30" s="9">
        <f>IF(C30&gt;0,J30/C30*1000,"")</f>
        <v>2.7600232423009876</v>
      </c>
      <c r="N30" s="9">
        <f>IF(C30&gt;0,K30/C30*1000,"")</f>
        <v>2.7600232423009876</v>
      </c>
      <c r="O30" s="10">
        <f>IF(OR(M30="",N30=""),"",N30-M30)</f>
        <v>0</v>
      </c>
      <c r="P30" s="7">
        <v>9</v>
      </c>
      <c r="Q30" s="7">
        <v>9</v>
      </c>
      <c r="R30" s="7">
        <v>29</v>
      </c>
      <c r="S30" s="7">
        <v>29</v>
      </c>
      <c r="T30" s="8">
        <f>R30-S30</f>
        <v>0</v>
      </c>
      <c r="U30" s="7">
        <v>25</v>
      </c>
      <c r="V30" s="7">
        <v>25</v>
      </c>
    </row>
    <row r="31" spans="1:22" x14ac:dyDescent="0.25">
      <c r="A31" s="6">
        <v>6</v>
      </c>
      <c r="B31" s="6" t="s">
        <v>71</v>
      </c>
      <c r="C31" s="7">
        <v>28363</v>
      </c>
      <c r="D31" s="7">
        <v>86</v>
      </c>
      <c r="E31" s="7">
        <v>86</v>
      </c>
      <c r="F31" s="8">
        <f>E31-D31</f>
        <v>0</v>
      </c>
      <c r="G31" s="7">
        <v>12</v>
      </c>
      <c r="H31" s="7">
        <v>12</v>
      </c>
      <c r="I31" s="8">
        <f>H31-G31</f>
        <v>0</v>
      </c>
      <c r="J31" s="7">
        <v>74</v>
      </c>
      <c r="K31" s="7">
        <v>74</v>
      </c>
      <c r="L31" s="8">
        <f>K31-J31</f>
        <v>0</v>
      </c>
      <c r="M31" s="9">
        <f>IF(C31&gt;0,J31/C31*1000,"")</f>
        <v>2.6090328949687973</v>
      </c>
      <c r="N31" s="9">
        <f>IF(C31&gt;0,K31/C31*1000,"")</f>
        <v>2.6090328949687973</v>
      </c>
      <c r="O31" s="10">
        <f>IF(OR(M31="",N31=""),"",N31-M31)</f>
        <v>0</v>
      </c>
      <c r="P31" s="7">
        <v>35</v>
      </c>
      <c r="Q31" s="7">
        <v>35</v>
      </c>
      <c r="R31" s="7">
        <v>30</v>
      </c>
      <c r="S31" s="7">
        <v>30</v>
      </c>
      <c r="T31" s="8">
        <f>R31-S31</f>
        <v>0</v>
      </c>
      <c r="U31" s="7">
        <v>32</v>
      </c>
      <c r="V31" s="7">
        <v>32</v>
      </c>
    </row>
    <row r="32" spans="1:22" x14ac:dyDescent="0.25">
      <c r="A32" s="6">
        <v>12</v>
      </c>
      <c r="B32" s="6" t="s">
        <v>73</v>
      </c>
      <c r="C32" s="7">
        <v>15697</v>
      </c>
      <c r="D32" s="7">
        <v>70</v>
      </c>
      <c r="E32" s="7">
        <v>70</v>
      </c>
      <c r="F32" s="8">
        <f>E32-D32</f>
        <v>0</v>
      </c>
      <c r="G32" s="7">
        <v>30</v>
      </c>
      <c r="H32" s="7">
        <v>30</v>
      </c>
      <c r="I32" s="8">
        <f>H32-G32</f>
        <v>0</v>
      </c>
      <c r="J32" s="7">
        <v>40</v>
      </c>
      <c r="K32" s="7">
        <v>40</v>
      </c>
      <c r="L32" s="8">
        <f>K32-J32</f>
        <v>0</v>
      </c>
      <c r="M32" s="9">
        <f>IF(C32&gt;0,J32/C32*1000,"")</f>
        <v>2.5482576288462764</v>
      </c>
      <c r="N32" s="9">
        <f>IF(C32&gt;0,K32/C32*1000,"")</f>
        <v>2.5482576288462764</v>
      </c>
      <c r="O32" s="10">
        <f>IF(OR(M32="",N32=""),"",N32-M32)</f>
        <v>0</v>
      </c>
      <c r="P32" s="7">
        <v>52</v>
      </c>
      <c r="Q32" s="7">
        <v>52</v>
      </c>
      <c r="R32" s="7">
        <v>31</v>
      </c>
      <c r="S32" s="7">
        <v>31</v>
      </c>
      <c r="T32" s="8">
        <f>R32-S32</f>
        <v>0</v>
      </c>
      <c r="U32" s="7">
        <v>0</v>
      </c>
      <c r="V32" s="7">
        <v>0</v>
      </c>
    </row>
    <row r="33" spans="1:22" x14ac:dyDescent="0.25">
      <c r="A33" s="6">
        <v>29</v>
      </c>
      <c r="B33" s="6" t="s">
        <v>94</v>
      </c>
      <c r="C33" s="7">
        <v>21072</v>
      </c>
      <c r="D33" s="7">
        <v>58</v>
      </c>
      <c r="E33" s="7">
        <v>58</v>
      </c>
      <c r="F33" s="8">
        <f>E33-D33</f>
        <v>0</v>
      </c>
      <c r="G33" s="7">
        <v>6</v>
      </c>
      <c r="H33" s="7">
        <v>6</v>
      </c>
      <c r="I33" s="8">
        <f>H33-G33</f>
        <v>0</v>
      </c>
      <c r="J33" s="7">
        <v>52</v>
      </c>
      <c r="K33" s="7">
        <v>52</v>
      </c>
      <c r="L33" s="8">
        <f>K33-J33</f>
        <v>0</v>
      </c>
      <c r="M33" s="9">
        <f>IF(C33&gt;0,J33/C33*1000,"")</f>
        <v>2.467729688686408</v>
      </c>
      <c r="N33" s="9">
        <f>IF(C33&gt;0,K33/C33*1000,"")</f>
        <v>2.467729688686408</v>
      </c>
      <c r="O33" s="10">
        <f>IF(OR(M33="",N33=""),"",N33-M33)</f>
        <v>0</v>
      </c>
      <c r="P33" s="7">
        <v>36</v>
      </c>
      <c r="Q33" s="7">
        <v>36</v>
      </c>
      <c r="R33" s="7">
        <v>32</v>
      </c>
      <c r="S33" s="7">
        <v>32</v>
      </c>
      <c r="T33" s="8">
        <f>R33-S33</f>
        <v>0</v>
      </c>
      <c r="U33" s="7">
        <v>10</v>
      </c>
      <c r="V33" s="7">
        <v>10</v>
      </c>
    </row>
    <row r="34" spans="1:22" x14ac:dyDescent="0.25">
      <c r="A34" s="6">
        <v>16</v>
      </c>
      <c r="B34" s="6" t="s">
        <v>89</v>
      </c>
      <c r="C34" s="7">
        <v>20208</v>
      </c>
      <c r="D34" s="7">
        <v>72</v>
      </c>
      <c r="E34" s="7">
        <v>72</v>
      </c>
      <c r="F34" s="8">
        <f>E34-D34</f>
        <v>0</v>
      </c>
      <c r="G34" s="7">
        <v>23</v>
      </c>
      <c r="H34" s="7">
        <v>23</v>
      </c>
      <c r="I34" s="8">
        <f>H34-G34</f>
        <v>0</v>
      </c>
      <c r="J34" s="7">
        <v>49</v>
      </c>
      <c r="K34" s="7">
        <v>49</v>
      </c>
      <c r="L34" s="8">
        <f>K34-J34</f>
        <v>0</v>
      </c>
      <c r="M34" s="9">
        <f>IF(C34&gt;0,J34/C34*1000,"")</f>
        <v>2.424782264449723</v>
      </c>
      <c r="N34" s="9">
        <f>IF(C34&gt;0,K34/C34*1000,"")</f>
        <v>2.424782264449723</v>
      </c>
      <c r="O34" s="10">
        <f>IF(OR(M34="",N34=""),"",N34-M34)</f>
        <v>0</v>
      </c>
      <c r="P34" s="7">
        <v>36</v>
      </c>
      <c r="Q34" s="7">
        <v>36</v>
      </c>
      <c r="R34" s="7">
        <v>33</v>
      </c>
      <c r="S34" s="7">
        <v>33</v>
      </c>
      <c r="T34" s="8">
        <f>R34-S34</f>
        <v>0</v>
      </c>
      <c r="U34" s="7">
        <v>145</v>
      </c>
      <c r="V34" s="7">
        <v>145</v>
      </c>
    </row>
    <row r="35" spans="1:22" x14ac:dyDescent="0.25">
      <c r="A35" s="6">
        <v>38</v>
      </c>
      <c r="B35" s="6" t="s">
        <v>84</v>
      </c>
      <c r="C35" s="7">
        <v>21982</v>
      </c>
      <c r="D35" s="7">
        <v>59</v>
      </c>
      <c r="E35" s="7">
        <v>59</v>
      </c>
      <c r="F35" s="8">
        <f>E35-D35</f>
        <v>0</v>
      </c>
      <c r="G35" s="7">
        <v>16</v>
      </c>
      <c r="H35" s="7">
        <v>16</v>
      </c>
      <c r="I35" s="8">
        <f>H35-G35</f>
        <v>0</v>
      </c>
      <c r="J35" s="7">
        <v>43</v>
      </c>
      <c r="K35" s="7">
        <v>43</v>
      </c>
      <c r="L35" s="8">
        <f>K35-J35</f>
        <v>0</v>
      </c>
      <c r="M35" s="9">
        <f>IF(C35&gt;0,J35/C35*1000,"")</f>
        <v>1.956145937585297</v>
      </c>
      <c r="N35" s="9">
        <f>IF(C35&gt;0,K35/C35*1000,"")</f>
        <v>1.956145937585297</v>
      </c>
      <c r="O35" s="10">
        <f>IF(OR(M35="",N35=""),"",N35-M35)</f>
        <v>0</v>
      </c>
      <c r="P35" s="7">
        <v>26</v>
      </c>
      <c r="Q35" s="7">
        <v>26</v>
      </c>
      <c r="R35" s="7">
        <v>34</v>
      </c>
      <c r="S35" s="7">
        <v>34</v>
      </c>
      <c r="T35" s="8">
        <f>R35-S35</f>
        <v>0</v>
      </c>
      <c r="U35" s="7">
        <v>0</v>
      </c>
      <c r="V35" s="7">
        <v>0</v>
      </c>
    </row>
    <row r="36" spans="1:22" x14ac:dyDescent="0.25">
      <c r="A36" s="6">
        <v>7</v>
      </c>
      <c r="B36" s="6" t="s">
        <v>90</v>
      </c>
      <c r="C36" s="7">
        <v>28483</v>
      </c>
      <c r="D36" s="7">
        <v>62</v>
      </c>
      <c r="E36" s="7">
        <v>62</v>
      </c>
      <c r="F36" s="8">
        <f>E36-D36</f>
        <v>0</v>
      </c>
      <c r="G36" s="7">
        <v>13</v>
      </c>
      <c r="H36" s="7">
        <v>13</v>
      </c>
      <c r="I36" s="8">
        <f>H36-G36</f>
        <v>0</v>
      </c>
      <c r="J36" s="7">
        <v>49</v>
      </c>
      <c r="K36" s="7">
        <v>49</v>
      </c>
      <c r="L36" s="8">
        <f>K36-J36</f>
        <v>0</v>
      </c>
      <c r="M36" s="9">
        <f>IF(C36&gt;0,J36/C36*1000,"")</f>
        <v>1.7203244040304744</v>
      </c>
      <c r="N36" s="9">
        <f>IF(C36&gt;0,K36/C36*1000,"")</f>
        <v>1.7203244040304744</v>
      </c>
      <c r="O36" s="10">
        <f>IF(OR(M36="",N36=""),"",N36-M36)</f>
        <v>0</v>
      </c>
      <c r="P36" s="7">
        <v>16</v>
      </c>
      <c r="Q36" s="7">
        <v>16</v>
      </c>
      <c r="R36" s="7">
        <v>35</v>
      </c>
      <c r="S36" s="7">
        <v>35</v>
      </c>
      <c r="T36" s="8">
        <f>R36-S36</f>
        <v>0</v>
      </c>
      <c r="U36" s="7">
        <v>42</v>
      </c>
      <c r="V36" s="7">
        <v>42</v>
      </c>
    </row>
    <row r="37" spans="1:22" x14ac:dyDescent="0.25">
      <c r="A37" s="6">
        <v>14</v>
      </c>
      <c r="B37" s="6" t="s">
        <v>75</v>
      </c>
      <c r="C37" s="7">
        <v>13682</v>
      </c>
      <c r="D37" s="7">
        <v>28</v>
      </c>
      <c r="E37" s="7">
        <v>28</v>
      </c>
      <c r="F37" s="8">
        <f>E37-D37</f>
        <v>0</v>
      </c>
      <c r="G37" s="7">
        <v>6</v>
      </c>
      <c r="H37" s="7">
        <v>6</v>
      </c>
      <c r="I37" s="8">
        <f>H37-G37</f>
        <v>0</v>
      </c>
      <c r="J37" s="7">
        <v>22</v>
      </c>
      <c r="K37" s="7">
        <v>22</v>
      </c>
      <c r="L37" s="8">
        <f>K37-J37</f>
        <v>0</v>
      </c>
      <c r="M37" s="9">
        <f>IF(C37&gt;0,J37/C37*1000,"")</f>
        <v>1.607952053793305</v>
      </c>
      <c r="N37" s="9">
        <f>IF(C37&gt;0,K37/C37*1000,"")</f>
        <v>1.607952053793305</v>
      </c>
      <c r="O37" s="10">
        <f>IF(OR(M37="",N37=""),"",N37-M37)</f>
        <v>0</v>
      </c>
      <c r="P37" s="7">
        <v>14</v>
      </c>
      <c r="Q37" s="7">
        <v>14</v>
      </c>
      <c r="R37" s="7">
        <v>36</v>
      </c>
      <c r="S37" s="7">
        <v>36</v>
      </c>
      <c r="T37" s="8">
        <f>R37-S37</f>
        <v>0</v>
      </c>
      <c r="U37" s="7">
        <v>0</v>
      </c>
      <c r="V37" s="7">
        <v>0</v>
      </c>
    </row>
    <row r="38" spans="1:22" x14ac:dyDescent="0.25">
      <c r="A38" s="6">
        <v>49</v>
      </c>
      <c r="B38" s="6" t="s">
        <v>97</v>
      </c>
      <c r="C38" s="7">
        <v>30084</v>
      </c>
      <c r="D38" s="7">
        <v>51</v>
      </c>
      <c r="E38" s="7">
        <v>51</v>
      </c>
      <c r="F38" s="8">
        <f>E38-D38</f>
        <v>0</v>
      </c>
      <c r="G38" s="7">
        <v>3</v>
      </c>
      <c r="H38" s="7">
        <v>3</v>
      </c>
      <c r="I38" s="8">
        <f>H38-G38</f>
        <v>0</v>
      </c>
      <c r="J38" s="7">
        <v>48</v>
      </c>
      <c r="K38" s="7">
        <v>48</v>
      </c>
      <c r="L38" s="8">
        <f>K38-J38</f>
        <v>0</v>
      </c>
      <c r="M38" s="9">
        <f>IF(C38&gt;0,J38/C38*1000,"")</f>
        <v>1.5955325089748702</v>
      </c>
      <c r="N38" s="9">
        <f>IF(C38&gt;0,K38/C38*1000,"")</f>
        <v>1.5955325089748702</v>
      </c>
      <c r="O38" s="10">
        <f>IF(OR(M38="",N38=""),"",N38-M38)</f>
        <v>0</v>
      </c>
      <c r="P38" s="7">
        <v>12</v>
      </c>
      <c r="Q38" s="7">
        <v>12</v>
      </c>
      <c r="R38" s="7">
        <v>37</v>
      </c>
      <c r="S38" s="7">
        <v>37</v>
      </c>
      <c r="T38" s="8">
        <f>R38-S38</f>
        <v>0</v>
      </c>
      <c r="U38" s="7">
        <v>0</v>
      </c>
      <c r="V38" s="7">
        <v>0</v>
      </c>
    </row>
    <row r="39" spans="1:22" x14ac:dyDescent="0.25">
      <c r="A39" s="6">
        <v>21</v>
      </c>
      <c r="B39" s="6" t="s">
        <v>78</v>
      </c>
      <c r="C39" s="7">
        <v>23270</v>
      </c>
      <c r="D39" s="7">
        <v>49</v>
      </c>
      <c r="E39" s="7">
        <v>49</v>
      </c>
      <c r="F39" s="8">
        <f>E39-D39</f>
        <v>0</v>
      </c>
      <c r="G39" s="7">
        <v>12</v>
      </c>
      <c r="H39" s="7">
        <v>12</v>
      </c>
      <c r="I39" s="8">
        <f>H39-G39</f>
        <v>0</v>
      </c>
      <c r="J39" s="7">
        <v>37</v>
      </c>
      <c r="K39" s="7">
        <v>37</v>
      </c>
      <c r="L39" s="8">
        <f>K39-J39</f>
        <v>0</v>
      </c>
      <c r="M39" s="9">
        <f>IF(C39&gt;0,J39/C39*1000,"")</f>
        <v>1.5900300816501933</v>
      </c>
      <c r="N39" s="9">
        <f>IF(C39&gt;0,K39/C39*1000,"")</f>
        <v>1.5900300816501933</v>
      </c>
      <c r="O39" s="10">
        <f>IF(OR(M39="",N39=""),"",N39-M39)</f>
        <v>0</v>
      </c>
      <c r="P39" s="7">
        <v>38</v>
      </c>
      <c r="Q39" s="7">
        <v>38</v>
      </c>
      <c r="R39" s="7">
        <v>38</v>
      </c>
      <c r="S39" s="7">
        <v>38</v>
      </c>
      <c r="T39" s="8">
        <f>R39-S39</f>
        <v>0</v>
      </c>
      <c r="U39" s="7">
        <v>71</v>
      </c>
      <c r="V39" s="7">
        <v>71</v>
      </c>
    </row>
    <row r="40" spans="1:22" x14ac:dyDescent="0.25">
      <c r="A40" s="6">
        <v>5</v>
      </c>
      <c r="B40" s="6" t="s">
        <v>105</v>
      </c>
      <c r="C40" s="7">
        <v>30778</v>
      </c>
      <c r="D40" s="7">
        <v>58</v>
      </c>
      <c r="E40" s="7">
        <v>58</v>
      </c>
      <c r="F40" s="8">
        <f>E40-D40</f>
        <v>0</v>
      </c>
      <c r="G40" s="7">
        <v>12</v>
      </c>
      <c r="H40" s="7">
        <v>12</v>
      </c>
      <c r="I40" s="8">
        <f>H40-G40</f>
        <v>0</v>
      </c>
      <c r="J40" s="7">
        <v>46</v>
      </c>
      <c r="K40" s="7">
        <v>46</v>
      </c>
      <c r="L40" s="8">
        <f>K40-J40</f>
        <v>0</v>
      </c>
      <c r="M40" s="9">
        <f>IF(C40&gt;0,J40/C40*1000,"")</f>
        <v>1.494574046396777</v>
      </c>
      <c r="N40" s="9">
        <f>IF(C40&gt;0,K40/C40*1000,"")</f>
        <v>1.494574046396777</v>
      </c>
      <c r="O40" s="10">
        <f>IF(OR(M40="",N40=""),"",N40-M40)</f>
        <v>0</v>
      </c>
      <c r="P40" s="7">
        <v>26</v>
      </c>
      <c r="Q40" s="7">
        <v>26</v>
      </c>
      <c r="R40" s="7">
        <v>39</v>
      </c>
      <c r="S40" s="7">
        <v>39</v>
      </c>
      <c r="T40" s="8">
        <f>R40-S40</f>
        <v>0</v>
      </c>
      <c r="U40" s="7">
        <v>6</v>
      </c>
      <c r="V40" s="7">
        <v>6</v>
      </c>
    </row>
    <row r="41" spans="1:22" x14ac:dyDescent="0.25">
      <c r="A41" s="6">
        <v>15</v>
      </c>
      <c r="B41" s="6" t="s">
        <v>77</v>
      </c>
      <c r="C41" s="7">
        <v>15502</v>
      </c>
      <c r="D41" s="7">
        <v>33</v>
      </c>
      <c r="E41" s="7">
        <v>33</v>
      </c>
      <c r="F41" s="8">
        <f>E41-D41</f>
        <v>0</v>
      </c>
      <c r="G41" s="7">
        <v>10</v>
      </c>
      <c r="H41" s="7">
        <v>10</v>
      </c>
      <c r="I41" s="8">
        <f>H41-G41</f>
        <v>0</v>
      </c>
      <c r="J41" s="7">
        <v>23</v>
      </c>
      <c r="K41" s="7">
        <v>23</v>
      </c>
      <c r="L41" s="8">
        <f>K41-J41</f>
        <v>0</v>
      </c>
      <c r="M41" s="9">
        <f>IF(C41&gt;0,J41/C41*1000,"")</f>
        <v>1.483679525222552</v>
      </c>
      <c r="N41" s="9">
        <f>IF(C41&gt;0,K41/C41*1000,"")</f>
        <v>1.483679525222552</v>
      </c>
      <c r="O41" s="10">
        <f>IF(OR(M41="",N41=""),"",N41-M41)</f>
        <v>0</v>
      </c>
      <c r="P41" s="7">
        <v>24</v>
      </c>
      <c r="Q41" s="7">
        <v>24</v>
      </c>
      <c r="R41" s="7">
        <v>40</v>
      </c>
      <c r="S41" s="7">
        <v>40</v>
      </c>
      <c r="T41" s="8">
        <f>R41-S41</f>
        <v>0</v>
      </c>
      <c r="U41" s="7">
        <v>31</v>
      </c>
      <c r="V41" s="7">
        <v>31</v>
      </c>
    </row>
    <row r="42" spans="1:22" x14ac:dyDescent="0.25">
      <c r="A42" s="6">
        <v>45</v>
      </c>
      <c r="B42" s="6" t="s">
        <v>88</v>
      </c>
      <c r="C42" s="7">
        <v>24235</v>
      </c>
      <c r="D42" s="7">
        <v>69</v>
      </c>
      <c r="E42" s="7">
        <v>69</v>
      </c>
      <c r="F42" s="8">
        <f>E42-D42</f>
        <v>0</v>
      </c>
      <c r="G42" s="7">
        <v>35</v>
      </c>
      <c r="H42" s="7">
        <v>35</v>
      </c>
      <c r="I42" s="8">
        <f>H42-G42</f>
        <v>0</v>
      </c>
      <c r="J42" s="7">
        <v>34</v>
      </c>
      <c r="K42" s="7">
        <v>34</v>
      </c>
      <c r="L42" s="8">
        <f>K42-J42</f>
        <v>0</v>
      </c>
      <c r="M42" s="9">
        <f>IF(C42&gt;0,J42/C42*1000,"")</f>
        <v>1.4029296472044563</v>
      </c>
      <c r="N42" s="9">
        <f>IF(C42&gt;0,K42/C42*1000,"")</f>
        <v>1.4029296472044563</v>
      </c>
      <c r="O42" s="10">
        <f>IF(OR(M42="",N42=""),"",N42-M42)</f>
        <v>0</v>
      </c>
      <c r="P42" s="7">
        <v>58</v>
      </c>
      <c r="Q42" s="7">
        <v>58</v>
      </c>
      <c r="R42" s="7">
        <v>41</v>
      </c>
      <c r="S42" s="7">
        <v>41</v>
      </c>
      <c r="T42" s="8">
        <f>R42-S42</f>
        <v>0</v>
      </c>
      <c r="U42" s="7">
        <v>0</v>
      </c>
      <c r="V42" s="7">
        <v>0</v>
      </c>
    </row>
    <row r="43" spans="1:22" x14ac:dyDescent="0.25">
      <c r="A43" s="6">
        <v>31</v>
      </c>
      <c r="B43" s="6" t="s">
        <v>96</v>
      </c>
      <c r="C43" s="7">
        <v>17755</v>
      </c>
      <c r="D43" s="7">
        <v>30</v>
      </c>
      <c r="E43" s="7">
        <v>30</v>
      </c>
      <c r="F43" s="8">
        <f>E43-D43</f>
        <v>0</v>
      </c>
      <c r="G43" s="7">
        <v>13</v>
      </c>
      <c r="H43" s="7">
        <v>13</v>
      </c>
      <c r="I43" s="8">
        <f>H43-G43</f>
        <v>0</v>
      </c>
      <c r="J43" s="7">
        <v>17</v>
      </c>
      <c r="K43" s="7">
        <v>17</v>
      </c>
      <c r="L43" s="8">
        <f>K43-J43</f>
        <v>0</v>
      </c>
      <c r="M43" s="9">
        <f>IF(C43&gt;0,J43/C43*1000,"")</f>
        <v>0.9574767671078569</v>
      </c>
      <c r="N43" s="9">
        <f>IF(C43&gt;0,K43/C43*1000,"")</f>
        <v>0.9574767671078569</v>
      </c>
      <c r="O43" s="10">
        <f>IF(OR(M43="",N43=""),"",N43-M43)</f>
        <v>0</v>
      </c>
      <c r="P43" s="7">
        <v>26</v>
      </c>
      <c r="Q43" s="7">
        <v>26</v>
      </c>
      <c r="R43" s="7">
        <v>42</v>
      </c>
      <c r="S43" s="7">
        <v>42</v>
      </c>
      <c r="T43" s="8">
        <f>R43-S43</f>
        <v>0</v>
      </c>
      <c r="U43" s="7">
        <v>4</v>
      </c>
      <c r="V43" s="7">
        <v>4</v>
      </c>
    </row>
    <row r="44" spans="1:22" x14ac:dyDescent="0.25">
      <c r="A44" s="6">
        <v>17</v>
      </c>
      <c r="B44" s="6" t="s">
        <v>95</v>
      </c>
      <c r="C44" s="7">
        <v>21944</v>
      </c>
      <c r="D44" s="7">
        <v>24</v>
      </c>
      <c r="E44" s="7">
        <v>24</v>
      </c>
      <c r="F44" s="8">
        <f>E44-D44</f>
        <v>0</v>
      </c>
      <c r="G44" s="7">
        <v>5</v>
      </c>
      <c r="H44" s="7">
        <v>5</v>
      </c>
      <c r="I44" s="8">
        <f>H44-G44</f>
        <v>0</v>
      </c>
      <c r="J44" s="7">
        <v>19</v>
      </c>
      <c r="K44" s="7">
        <v>19</v>
      </c>
      <c r="L44" s="8">
        <f>K44-J44</f>
        <v>0</v>
      </c>
      <c r="M44" s="9">
        <f>IF(C44&gt;0,J44/C44*1000,"")</f>
        <v>0.8658403208166241</v>
      </c>
      <c r="N44" s="9">
        <f>IF(C44&gt;0,K44/C44*1000,"")</f>
        <v>0.8658403208166241</v>
      </c>
      <c r="O44" s="10">
        <f>IF(OR(M44="",N44=""),"",N44-M44)</f>
        <v>0</v>
      </c>
      <c r="P44" s="7">
        <v>25</v>
      </c>
      <c r="Q44" s="7">
        <v>25</v>
      </c>
      <c r="R44" s="7">
        <v>43</v>
      </c>
      <c r="S44" s="7">
        <v>43</v>
      </c>
      <c r="T44" s="8">
        <f>R44-S44</f>
        <v>0</v>
      </c>
      <c r="U44" s="7">
        <v>69</v>
      </c>
      <c r="V44" s="7">
        <v>69</v>
      </c>
    </row>
    <row r="45" spans="1:22" x14ac:dyDescent="0.25">
      <c r="A45" s="6">
        <v>41</v>
      </c>
      <c r="B45" s="6" t="s">
        <v>87</v>
      </c>
      <c r="C45" s="7">
        <v>25462</v>
      </c>
      <c r="D45" s="7">
        <v>48</v>
      </c>
      <c r="E45" s="7">
        <v>48</v>
      </c>
      <c r="F45" s="8">
        <f>E45-D45</f>
        <v>0</v>
      </c>
      <c r="G45" s="7">
        <v>29</v>
      </c>
      <c r="H45" s="7">
        <v>29</v>
      </c>
      <c r="I45" s="8">
        <f>H45-G45</f>
        <v>0</v>
      </c>
      <c r="J45" s="7">
        <v>19</v>
      </c>
      <c r="K45" s="7">
        <v>19</v>
      </c>
      <c r="L45" s="8">
        <f>K45-J45</f>
        <v>0</v>
      </c>
      <c r="M45" s="9">
        <f>IF(C45&gt;0,J45/C45*1000,"")</f>
        <v>0.7462100384887284</v>
      </c>
      <c r="N45" s="9">
        <f>IF(C45&gt;0,K45/C45*1000,"")</f>
        <v>0.7462100384887284</v>
      </c>
      <c r="O45" s="10">
        <f>IF(OR(M45="",N45=""),"",N45-M45)</f>
        <v>0</v>
      </c>
      <c r="P45" s="7">
        <v>44</v>
      </c>
      <c r="Q45" s="7">
        <v>44</v>
      </c>
      <c r="R45" s="7">
        <v>44</v>
      </c>
      <c r="S45" s="7">
        <v>44</v>
      </c>
      <c r="T45" s="8">
        <f>R45-S45</f>
        <v>0</v>
      </c>
      <c r="U45" s="7">
        <v>0</v>
      </c>
      <c r="V45" s="7">
        <v>0</v>
      </c>
    </row>
    <row r="46" spans="1:22" x14ac:dyDescent="0.25">
      <c r="A46" s="6">
        <v>18</v>
      </c>
      <c r="B46" s="6" t="s">
        <v>101</v>
      </c>
      <c r="C46" s="7">
        <v>20225</v>
      </c>
      <c r="D46" s="7">
        <v>14</v>
      </c>
      <c r="E46" s="7">
        <v>14</v>
      </c>
      <c r="F46" s="8">
        <f>E46-D46</f>
        <v>0</v>
      </c>
      <c r="G46" s="7">
        <v>2</v>
      </c>
      <c r="H46" s="7">
        <v>2</v>
      </c>
      <c r="I46" s="8">
        <f>H46-G46</f>
        <v>0</v>
      </c>
      <c r="J46" s="7">
        <v>12</v>
      </c>
      <c r="K46" s="7">
        <v>12</v>
      </c>
      <c r="L46" s="8">
        <f>K46-J46</f>
        <v>0</v>
      </c>
      <c r="M46" s="9">
        <f>IF(C46&gt;0,J46/C46*1000,"")</f>
        <v>0.5933250927070457</v>
      </c>
      <c r="N46" s="9">
        <f>IF(C46&gt;0,K46/C46*1000,"")</f>
        <v>0.5933250927070457</v>
      </c>
      <c r="O46" s="10">
        <f>IF(OR(M46="",N46=""),"",N46-M46)</f>
        <v>0</v>
      </c>
      <c r="P46" s="7">
        <v>10</v>
      </c>
      <c r="Q46" s="7">
        <v>10</v>
      </c>
      <c r="R46" s="7">
        <v>45</v>
      </c>
      <c r="S46" s="7">
        <v>45</v>
      </c>
      <c r="T46" s="8">
        <f>R46-S46</f>
        <v>0</v>
      </c>
      <c r="U46" s="7">
        <v>0</v>
      </c>
      <c r="V46" s="7">
        <v>0</v>
      </c>
    </row>
    <row r="47" spans="1:22" x14ac:dyDescent="0.25">
      <c r="A47" s="6">
        <v>39</v>
      </c>
      <c r="B47" s="6" t="s">
        <v>92</v>
      </c>
      <c r="C47" s="7">
        <v>22495</v>
      </c>
      <c r="D47" s="7">
        <v>39</v>
      </c>
      <c r="E47" s="7">
        <v>39</v>
      </c>
      <c r="F47" s="8">
        <f>E47-D47</f>
        <v>0</v>
      </c>
      <c r="G47" s="7">
        <v>26</v>
      </c>
      <c r="H47" s="7">
        <v>26</v>
      </c>
      <c r="I47" s="8">
        <f>H47-G47</f>
        <v>0</v>
      </c>
      <c r="J47" s="7">
        <v>13</v>
      </c>
      <c r="K47" s="7">
        <v>13</v>
      </c>
      <c r="L47" s="8">
        <f>K47-J47</f>
        <v>0</v>
      </c>
      <c r="M47" s="9">
        <f>IF(C47&gt;0,J47/C47*1000,"")</f>
        <v>0.577906201378084</v>
      </c>
      <c r="N47" s="9">
        <f>IF(C47&gt;0,K47/C47*1000,"")</f>
        <v>0.577906201378084</v>
      </c>
      <c r="O47" s="10">
        <f>IF(OR(M47="",N47=""),"",N47-M47)</f>
        <v>0</v>
      </c>
      <c r="P47" s="7">
        <v>41</v>
      </c>
      <c r="Q47" s="7">
        <v>41</v>
      </c>
      <c r="R47" s="7">
        <v>46</v>
      </c>
      <c r="S47" s="7">
        <v>46</v>
      </c>
      <c r="T47" s="8">
        <f>R47-S47</f>
        <v>0</v>
      </c>
      <c r="U47" s="7">
        <v>0</v>
      </c>
      <c r="V47" s="7">
        <v>0</v>
      </c>
    </row>
    <row r="48" spans="1:22" x14ac:dyDescent="0.25">
      <c r="A48" s="6">
        <v>19</v>
      </c>
      <c r="B48" s="6" t="s">
        <v>98</v>
      </c>
      <c r="C48" s="7">
        <v>21515</v>
      </c>
      <c r="D48" s="7">
        <v>21</v>
      </c>
      <c r="E48" s="7">
        <v>21</v>
      </c>
      <c r="F48" s="8">
        <f>E48-D48</f>
        <v>0</v>
      </c>
      <c r="G48" s="7">
        <v>14</v>
      </c>
      <c r="H48" s="7">
        <v>14</v>
      </c>
      <c r="I48" s="8">
        <f>H48-G48</f>
        <v>0</v>
      </c>
      <c r="J48" s="7">
        <v>7</v>
      </c>
      <c r="K48" s="7">
        <v>7</v>
      </c>
      <c r="L48" s="8">
        <f>K48-J48</f>
        <v>0</v>
      </c>
      <c r="M48" s="9">
        <f>IF(C48&gt;0,J48/C48*1000,"")</f>
        <v>0.32535440390425285</v>
      </c>
      <c r="N48" s="9">
        <f>IF(C48&gt;0,K48/C48*1000,"")</f>
        <v>0.32535440390425285</v>
      </c>
      <c r="O48" s="10">
        <f>IF(OR(M48="",N48=""),"",N48-M48)</f>
        <v>0</v>
      </c>
      <c r="P48" s="7">
        <v>26</v>
      </c>
      <c r="Q48" s="7">
        <v>26</v>
      </c>
      <c r="R48" s="7">
        <v>47</v>
      </c>
      <c r="S48" s="7">
        <v>47</v>
      </c>
      <c r="T48" s="8">
        <f>R48-S48</f>
        <v>0</v>
      </c>
      <c r="U48" s="7">
        <v>5</v>
      </c>
      <c r="V48" s="7">
        <v>5</v>
      </c>
    </row>
    <row r="49" spans="1:22" x14ac:dyDescent="0.25">
      <c r="A49" s="6">
        <v>9</v>
      </c>
      <c r="B49" s="6" t="s">
        <v>99</v>
      </c>
      <c r="C49" s="7">
        <v>25610</v>
      </c>
      <c r="D49" s="7">
        <v>28</v>
      </c>
      <c r="E49" s="7">
        <v>28</v>
      </c>
      <c r="F49" s="8">
        <f>E49-D49</f>
        <v>0</v>
      </c>
      <c r="G49" s="7">
        <v>22</v>
      </c>
      <c r="H49" s="7">
        <v>22</v>
      </c>
      <c r="I49" s="8">
        <f>H49-G49</f>
        <v>0</v>
      </c>
      <c r="J49" s="7">
        <v>6</v>
      </c>
      <c r="K49" s="7">
        <v>6</v>
      </c>
      <c r="L49" s="8">
        <f>K49-J49</f>
        <v>0</v>
      </c>
      <c r="M49" s="9">
        <f>IF(C49&gt;0,J49/C49*1000,"")</f>
        <v>0.23428348301444749</v>
      </c>
      <c r="N49" s="9">
        <f>IF(C49&gt;0,K49/C49*1000,"")</f>
        <v>0.23428348301444749</v>
      </c>
      <c r="O49" s="10">
        <f>IF(OR(M49="",N49=""),"",N49-M49)</f>
        <v>0</v>
      </c>
      <c r="P49" s="7">
        <v>41</v>
      </c>
      <c r="Q49" s="7">
        <v>41</v>
      </c>
      <c r="R49" s="7">
        <v>48</v>
      </c>
      <c r="S49" s="7">
        <v>48</v>
      </c>
      <c r="T49" s="8">
        <f>R49-S49</f>
        <v>0</v>
      </c>
      <c r="U49" s="7">
        <v>63</v>
      </c>
      <c r="V49" s="7">
        <v>63</v>
      </c>
    </row>
    <row r="50" spans="1:22" x14ac:dyDescent="0.25">
      <c r="A50" s="6">
        <v>23</v>
      </c>
      <c r="B50" s="6" t="s">
        <v>104</v>
      </c>
      <c r="C50" s="7">
        <v>16232</v>
      </c>
      <c r="D50" s="7">
        <v>9</v>
      </c>
      <c r="E50" s="7">
        <v>9</v>
      </c>
      <c r="F50" s="8">
        <f>E50-D50</f>
        <v>0</v>
      </c>
      <c r="G50" s="7">
        <v>6</v>
      </c>
      <c r="H50" s="7">
        <v>6</v>
      </c>
      <c r="I50" s="8">
        <f>H50-G50</f>
        <v>0</v>
      </c>
      <c r="J50" s="7">
        <v>3</v>
      </c>
      <c r="K50" s="7">
        <v>3</v>
      </c>
      <c r="L50" s="8">
        <f>K50-J50</f>
        <v>0</v>
      </c>
      <c r="M50" s="9">
        <f>IF(C50&gt;0,J50/C50*1000,"")</f>
        <v>0.18482010842779695</v>
      </c>
      <c r="N50" s="9">
        <f>IF(C50&gt;0,K50/C50*1000,"")</f>
        <v>0.18482010842779695</v>
      </c>
      <c r="O50" s="10">
        <f>IF(OR(M50="",N50=""),"",N50-M50)</f>
        <v>0</v>
      </c>
      <c r="P50" s="7">
        <v>13</v>
      </c>
      <c r="Q50" s="7">
        <v>13</v>
      </c>
      <c r="R50" s="7">
        <v>49</v>
      </c>
      <c r="S50" s="7">
        <v>49</v>
      </c>
      <c r="T50" s="8">
        <f>R50-S50</f>
        <v>0</v>
      </c>
      <c r="U50" s="7">
        <v>0</v>
      </c>
      <c r="V50" s="7">
        <v>0</v>
      </c>
    </row>
    <row r="51" spans="1:22" x14ac:dyDescent="0.25">
      <c r="A51" s="6">
        <v>13</v>
      </c>
      <c r="B51" s="6" t="s">
        <v>102</v>
      </c>
      <c r="C51" s="7">
        <v>18500</v>
      </c>
      <c r="D51" s="7">
        <v>5</v>
      </c>
      <c r="E51" s="7">
        <v>5</v>
      </c>
      <c r="F51" s="8">
        <f>E51-D51</f>
        <v>0</v>
      </c>
      <c r="G51" s="7">
        <v>6</v>
      </c>
      <c r="H51" s="7">
        <v>6</v>
      </c>
      <c r="I51" s="8">
        <f>H51-G51</f>
        <v>0</v>
      </c>
      <c r="J51" s="7">
        <v>-1</v>
      </c>
      <c r="K51" s="7">
        <v>-1</v>
      </c>
      <c r="L51" s="8">
        <f>K51-J51</f>
        <v>0</v>
      </c>
      <c r="M51" s="9">
        <f>IF(C51&gt;0,J51/C51*1000,"")</f>
        <v>-0.05405405405405405</v>
      </c>
      <c r="N51" s="9">
        <f>IF(C51&gt;0,K51/C51*1000,"")</f>
        <v>-0.05405405405405405</v>
      </c>
      <c r="O51" s="10">
        <f>IF(OR(M51="",N51=""),"",N51-M51)</f>
        <v>0</v>
      </c>
      <c r="P51" s="7">
        <v>10</v>
      </c>
      <c r="Q51" s="7">
        <v>10</v>
      </c>
      <c r="R51" s="7">
        <v>50</v>
      </c>
      <c r="S51" s="7">
        <v>50</v>
      </c>
      <c r="T51" s="8">
        <f>R51-S51</f>
        <v>0</v>
      </c>
      <c r="U51" s="7">
        <v>8</v>
      </c>
      <c r="V51" s="7">
        <v>8</v>
      </c>
    </row>
    <row r="52" spans="1:22" x14ac:dyDescent="0.25">
      <c r="A52" s="12" t="s">
        <v>10</v>
      </c>
      <c r="B52" s="12" t="s">
        <v>106</v>
      </c>
      <c r="C52" s="13">
        <f>SUM(C2:C51)</f>
        <v>1295960</v>
      </c>
      <c r="D52" s="13">
        <f>SUM(D2:D51)</f>
        <v>15553</v>
      </c>
      <c r="E52" s="13">
        <f>SUM(E2:E51)</f>
        <v>15553</v>
      </c>
      <c r="F52" s="14">
        <f>E52-D52</f>
        <v>0</v>
      </c>
      <c r="G52" s="13">
        <f>SUM(G2:G51)</f>
        <v>2076</v>
      </c>
      <c r="H52" s="13">
        <f>SUM(H2:H51)</f>
        <v>2075</v>
      </c>
      <c r="I52" s="14">
        <f>H52-G52</f>
        <v>-1</v>
      </c>
      <c r="J52" s="13">
        <f>SUM(J2:J51)</f>
        <v>13477</v>
      </c>
      <c r="K52" s="13">
        <f>SUM(K2:K51)</f>
        <v>13478</v>
      </c>
      <c r="L52" s="14">
        <f>K52-J52</f>
        <v>1</v>
      </c>
      <c r="M52" s="15">
        <f>IF(C52&gt;0,J52/C52*1000,"")</f>
        <v>10.39924071730609</v>
      </c>
      <c r="N52" s="15">
        <f>IF(C52&gt;0,K52/C52*1000,"")</f>
        <v>10.400012346060064</v>
      </c>
      <c r="O52" s="16">
        <f>IF(OR(M52="",N52=""),"",N52-M52)</f>
        <v>0.00077162875397363</v>
      </c>
      <c r="P52" s="13">
        <f>SUM(P2:P51)</f>
        <v>3649</v>
      </c>
      <c r="Q52" s="13">
        <f>SUM(Q2:Q51)</f>
        <v>3649</v>
      </c>
      <c r="R52" s="13" t="s">
        <v>106</v>
      </c>
      <c r="S52" s="13" t="s">
        <v>106</v>
      </c>
      <c r="T52" s="13" t="s">
        <v>106</v>
      </c>
      <c r="U52" s="13">
        <f>SUM(U2:U51)</f>
        <v>767</v>
      </c>
      <c r="V52" s="13">
        <f>SUM(V2:V51)</f>
        <v>767</v>
      </c>
    </row>
  </sheetData>
  <autoFilter ref="A1:V51"/>
  <conditionalFormatting sqref="F2:F52">
    <cfRule type="cellIs" dxfId="34" priority="1" operator="greaterThan">
      <formula>0</formula>
    </cfRule>
    <cfRule type="cellIs" dxfId="35" priority="2" operator="lessThan">
      <formula>0</formula>
    </cfRule>
  </conditionalFormatting>
  <conditionalFormatting sqref="I2:I52">
    <cfRule type="cellIs" dxfId="36" priority="1" operator="greaterThan">
      <formula>0</formula>
    </cfRule>
    <cfRule type="cellIs" dxfId="37" priority="2" operator="lessThan">
      <formula>0</formula>
    </cfRule>
  </conditionalFormatting>
  <conditionalFormatting sqref="L2:L52">
    <cfRule type="cellIs" dxfId="38" priority="1" operator="greaterThan">
      <formula>0</formula>
    </cfRule>
    <cfRule type="cellIs" dxfId="39" priority="2" operator="lessThan">
      <formula>0</formula>
    </cfRule>
  </conditionalFormatting>
  <conditionalFormatting sqref="O2:O52">
    <cfRule type="cellIs" dxfId="40" priority="1" operator="greaterThan">
      <formula>0</formula>
    </cfRule>
    <cfRule type="cellIs" dxfId="41" priority="2" operator="lessThan">
      <formula>0</formula>
    </cfRule>
  </conditionalFormatting>
  <conditionalFormatting sqref="T2:T51">
    <cfRule type="cellIs" dxfId="42" priority="1" operator="greaterThan">
      <formula>0</formula>
    </cfRule>
    <cfRule type="cellIs" dxfId="43" priority="2" operator="lessThan">
      <formula>0</formula>
    </cfRule>
  </conditionalFormatting>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7" customWidth="1"/>
    <col min="3" max="3" width="26" customWidth="1"/>
    <col min="4" max="4" width="18" customWidth="1"/>
    <col min="5" max="5" width="12" customWidth="1"/>
    <col min="6" max="8" width="11" customWidth="1"/>
    <col min="9" max="10" width="12" customWidth="1"/>
    <col min="11" max="12" width="30" customWidth="1"/>
    <col min="13" max="13" width="12" customWidth="1"/>
    <col min="14" max="14" width="60" customWidth="1"/>
  </cols>
  <sheetData>
    <row r="1" ht="30" customHeight="1" spans="1:14" x14ac:dyDescent="0.25">
      <c r="A1" s="5" t="s">
        <v>107</v>
      </c>
      <c r="B1" s="5" t="s">
        <v>34</v>
      </c>
      <c r="C1" s="5" t="s">
        <v>108</v>
      </c>
      <c r="D1" s="5" t="s">
        <v>109</v>
      </c>
      <c r="E1" s="5" t="s">
        <v>110</v>
      </c>
      <c r="F1" s="5" t="s">
        <v>111</v>
      </c>
      <c r="G1" s="5" t="s">
        <v>112</v>
      </c>
      <c r="H1" s="5" t="s">
        <v>113</v>
      </c>
      <c r="I1" s="5" t="s">
        <v>114</v>
      </c>
      <c r="J1" s="5" t="s">
        <v>115</v>
      </c>
      <c r="K1" s="5" t="s">
        <v>116</v>
      </c>
      <c r="L1" s="5" t="s">
        <v>117</v>
      </c>
      <c r="M1" s="5" t="s">
        <v>118</v>
      </c>
      <c r="N1" s="5" t="s">
        <v>119</v>
      </c>
    </row>
    <row r="2" spans="1:14" x14ac:dyDescent="0.25">
      <c r="A2" s="6" t="s">
        <v>120</v>
      </c>
      <c r="B2" s="6">
        <v>11</v>
      </c>
      <c r="C2" s="6" t="s">
        <v>121</v>
      </c>
      <c r="D2" s="6" t="s">
        <v>122</v>
      </c>
      <c r="E2" s="6" t="s">
        <v>123</v>
      </c>
      <c r="F2" s="7">
        <v>0</v>
      </c>
      <c r="G2" s="7">
        <v>1</v>
      </c>
      <c r="H2" s="8">
        <f>N(G2)-N(F2)</f>
        <v>1</v>
      </c>
      <c r="I2" s="6" t="s">
        <v>124</v>
      </c>
      <c r="J2" s="6" t="s">
        <v>124</v>
      </c>
      <c r="K2" s="6" t="s">
        <v>125</v>
      </c>
      <c r="L2" s="6" t="s">
        <v>106</v>
      </c>
      <c r="M2" s="6" t="s">
        <v>126</v>
      </c>
      <c r="N2" s="6" t="s">
        <v>127</v>
      </c>
    </row>
    <row r="3" spans="1:14" x14ac:dyDescent="0.25">
      <c r="A3" s="6" t="s">
        <v>120</v>
      </c>
      <c r="B3" s="6">
        <v>11</v>
      </c>
      <c r="C3" s="6" t="s">
        <v>121</v>
      </c>
      <c r="D3" s="6" t="s">
        <v>128</v>
      </c>
      <c r="E3" s="6" t="s">
        <v>129</v>
      </c>
      <c r="F3" s="7">
        <v>-1</v>
      </c>
      <c r="G3" s="7">
        <v>0</v>
      </c>
      <c r="H3" s="8">
        <f>N(G3)-N(F3)</f>
        <v>1</v>
      </c>
      <c r="I3" s="6" t="s">
        <v>130</v>
      </c>
      <c r="J3" s="6" t="s">
        <v>130</v>
      </c>
      <c r="K3" s="6" t="s">
        <v>131</v>
      </c>
      <c r="L3" s="6" t="s">
        <v>132</v>
      </c>
      <c r="M3" s="6" t="s">
        <v>133</v>
      </c>
      <c r="N3" s="6" t="s">
        <v>134</v>
      </c>
    </row>
  </sheetData>
  <autoFilter ref="A1:N3"/>
  <conditionalFormatting sqref="H2:H3">
    <cfRule type="cellIs" dxfId="44" priority="1" operator="greaterThan">
      <formula>0</formula>
    </cfRule>
    <cfRule type="cellIs" dxfId="45" priority="2" operator="lessThan">
      <formula>0</formula>
    </cfRule>
  </conditionalFormatting>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9"/>
  <sheetFormatPr defaultRowHeight="15" outlineLevelRow="0" outlineLevelCol="0" x14ac:dyDescent="55"/>
  <cols>
    <col min="1" max="1" width="110" customWidth="1"/>
  </cols>
  <sheetData>
    <row r="1" spans="1:1" x14ac:dyDescent="0.25">
      <c r="A1" s="2" t="s">
        <v>135</v>
      </c>
    </row>
    <row r="2" ht="28" customHeight="1" spans="1:1" x14ac:dyDescent="0.25">
      <c r="A2" s="11" t="s">
        <v>136</v>
      </c>
    </row>
    <row r="4" spans="1:1" x14ac:dyDescent="0.25">
      <c r="A4" s="2" t="s">
        <v>137</v>
      </c>
    </row>
    <row r="5" spans="1:1" x14ac:dyDescent="0.25">
      <c r="A5" s="17" t="s">
        <v>138</v>
      </c>
    </row>
    <row r="6" spans="1:1" x14ac:dyDescent="0.25">
      <c r="A6" s="17" t="s">
        <v>139</v>
      </c>
    </row>
    <row r="7" spans="1:1" x14ac:dyDescent="0.25">
      <c r="A7" s="17" t="s">
        <v>140</v>
      </c>
    </row>
    <row r="8" spans="1:1" x14ac:dyDescent="0.25">
      <c r="A8" s="17" t="s">
        <v>141</v>
      </c>
    </row>
    <row r="9" spans="1:1" x14ac:dyDescent="0.25">
      <c r="A9" s="17" t="s">
        <v>142</v>
      </c>
    </row>
    <row r="10" spans="1:1" x14ac:dyDescent="0.25">
      <c r="A10" s="17" t="s">
        <v>143</v>
      </c>
    </row>
    <row r="11" spans="1:1" x14ac:dyDescent="0.25">
      <c r="A11" s="17" t="s">
        <v>144</v>
      </c>
    </row>
    <row r="12" spans="1:1" x14ac:dyDescent="0.25">
      <c r="A12" s="17" t="s">
        <v>145</v>
      </c>
    </row>
    <row r="13" spans="1:1" x14ac:dyDescent="0.25">
      <c r="A13" s="17" t="s">
        <v>146</v>
      </c>
    </row>
    <row r="14" spans="1:1" x14ac:dyDescent="0.25">
      <c r="A14" s="17" t="s">
        <v>147</v>
      </c>
    </row>
    <row r="15" spans="1:1" x14ac:dyDescent="0.25">
      <c r="A15" s="17" t="s">
        <v>148</v>
      </c>
    </row>
    <row r="16" spans="1:1" x14ac:dyDescent="0.25">
      <c r="A16" s="17" t="s">
        <v>149</v>
      </c>
    </row>
    <row r="17" spans="1:1" x14ac:dyDescent="0.25">
      <c r="A17" s="17" t="s">
        <v>150</v>
      </c>
    </row>
    <row r="18" spans="1:1" x14ac:dyDescent="0.25">
      <c r="A18" s="17" t="s">
        <v>151</v>
      </c>
    </row>
    <row r="19" spans="1:1" x14ac:dyDescent="0.25">
      <c r="A19" s="17" t="s">
        <v>152</v>
      </c>
    </row>
    <row r="20" spans="1:1" x14ac:dyDescent="0.25">
      <c r="A20" s="17" t="s">
        <v>153</v>
      </c>
    </row>
    <row r="21" spans="1:1" x14ac:dyDescent="0.25">
      <c r="A21" s="17" t="s">
        <v>154</v>
      </c>
    </row>
    <row r="22" spans="1:1" x14ac:dyDescent="0.25">
      <c r="A22" s="17" t="s">
        <v>155</v>
      </c>
    </row>
    <row r="23" spans="1:1" x14ac:dyDescent="0.25">
      <c r="A23" s="17" t="s">
        <v>156</v>
      </c>
    </row>
    <row r="24" spans="1:1" x14ac:dyDescent="0.25">
      <c r="A24" s="17" t="s">
        <v>157</v>
      </c>
    </row>
    <row r="25" spans="1:1" x14ac:dyDescent="0.25">
      <c r="A25" s="17" t="s">
        <v>158</v>
      </c>
    </row>
    <row r="26" spans="1:1" x14ac:dyDescent="0.25">
      <c r="A26" s="17" t="s">
        <v>159</v>
      </c>
    </row>
    <row r="27" spans="1:1" x14ac:dyDescent="0.25">
      <c r="A27" s="17" t="s">
        <v>160</v>
      </c>
    </row>
    <row r="28" spans="1:1" x14ac:dyDescent="0.25">
      <c r="A28" s="17" t="s">
        <v>161</v>
      </c>
    </row>
    <row r="29" spans="1:1" x14ac:dyDescent="0.25">
      <c r="A29" s="17" t="s">
        <v>162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Wards (last 12 months)</vt:lpstr>
      <vt:lpstr>Wards (this term)</vt:lpstr>
      <vt:lpstr>Projects</vt:lpstr>
      <vt:lpstr>Changes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ward-housing-ranker, npm run impact</dc:creator>
  <dc:title/>
  <dc:subject/>
  <dc:description/>
  <cp:keywords/>
  <cp:category/>
  <cp:lastModifiedBy>Unknown</cp:lastModifiedBy>
  <dcterms:created xsi:type="dcterms:W3CDTF">2026-10-17T21:17:13Z</dcterms:created>
  <dcterms:modified xsi:type="dcterms:W3CDTF">2026-10-17T21:17:13Z</dcterms:modified>
</cp:coreProperties>
</file>