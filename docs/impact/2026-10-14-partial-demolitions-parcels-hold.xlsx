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Wards (last 12 months)" state="visible" r:id="rId5"/>
    <sheet sheetId="3" name="Wards (this term)" state="visible" r:id="rId6"/>
    <sheet sheetId="4" name="Projects" state="visible" r:id="rId7"/>
    <sheet sheetId="5" name="Changes" state="visible" r:id="rId8"/>
  </sheets>
  <calcPr calcId="171027"/>
</workbook>
</file>

<file path=xl/sharedStrings.xml><?xml version="1.0" encoding="utf-8"?>
<sst xmlns="http://schemas.openxmlformats.org/spreadsheetml/2006/main" count="1081" uniqueCount="495">
  <si>
    <t xml:space="preserve">Impact report: Three demolition rules: partial demolitions count zero, retired and shared parcels count once, large assessor </t>
  </si>
  <si>
    <t>Generated</t>
  </si>
  <si>
    <t>2026-10-14 (windows end here)</t>
  </si>
  <si>
    <t>Before</t>
  </si>
  <si>
    <t>commit 6f68945, dry run on the same cached permit pull; generated 2026-10-14</t>
  </si>
  <si>
    <t>After</t>
  </si>
  <si>
    <t>data/fixtures/snapshot.json; generated 2026-10-14</t>
  </si>
  <si>
    <t>Commit</t>
  </si>
  <si>
    <t>a83d1c6 plus uncommitted changes in 6 files</t>
  </si>
  <si>
    <t>Last 12 months (2025-10-14 to 2026-10-14)</t>
  </si>
  <si>
    <t>Chicago</t>
  </si>
  <si>
    <t>Change</t>
  </si>
  <si>
    <t>Gross units</t>
  </si>
  <si>
    <t>Lost units</t>
  </si>
  <si>
    <t>Net units</t>
  </si>
  <si>
    <t>Net per 1,000 existing units</t>
  </si>
  <si>
    <t>Counted projects</t>
  </si>
  <si>
    <t>Emergency units (shown, not counted)</t>
  </si>
  <si>
    <t>Largest ward moves, last 12 months</t>
  </si>
  <si>
    <t>Ward 44, Bennett R. Lawson</t>
  </si>
  <si>
    <t>net -11 to +68</t>
  </si>
  <si>
    <t>rank 50 to 18</t>
  </si>
  <si>
    <t>Ward 9, Anthony Beale</t>
  </si>
  <si>
    <t>net 0 to +2</t>
  </si>
  <si>
    <t>rank 45 to 44</t>
  </si>
  <si>
    <t>Ward 33, Rossana Rodriguez Sanchez</t>
  </si>
  <si>
    <t>net +21 to +23</t>
  </si>
  <si>
    <t>rank 27 to 28</t>
  </si>
  <si>
    <t>Ward 19, Matthew J. O'Shea</t>
  </si>
  <si>
    <t>net +2 to +3</t>
  </si>
  <si>
    <t>rank 42 to 41</t>
  </si>
  <si>
    <t>Ward 41, Anthony V. Napolitano</t>
  </si>
  <si>
    <t>net +12 to +13</t>
  </si>
  <si>
    <t>rank 33 to 33</t>
  </si>
  <si>
    <t>This term (2023-05-15 to 2026-10-14)</t>
  </si>
  <si>
    <t>Largest ward moves, this term</t>
  </si>
  <si>
    <t>net +244 to +323</t>
  </si>
  <si>
    <t>rank 17 to 14</t>
  </si>
  <si>
    <t>Ward 32, Scott Waguespack</t>
  </si>
  <si>
    <t>net +458 to +472</t>
  </si>
  <si>
    <t>rank 9 to 9</t>
  </si>
  <si>
    <t>Ward 47, Matthew J. Martin</t>
  </si>
  <si>
    <t>net +479 to +486</t>
  </si>
  <si>
    <t>rank 12 to 11</t>
  </si>
  <si>
    <t>Ward 43, Timothy R. Knudsen</t>
  </si>
  <si>
    <t>net +258 to +265</t>
  </si>
  <si>
    <t>rank 15 to 16</t>
  </si>
  <si>
    <t>Ward 50, Debra L. Silverstein</t>
  </si>
  <si>
    <t>net +70 to +75</t>
  </si>
  <si>
    <t>rank 28 to 28</t>
  </si>
  <si>
    <t>Projects</t>
  </si>
  <si>
    <t>Count</t>
  </si>
  <si>
    <t>Changed (units, counted or kind)</t>
  </si>
  <si>
    <t>Regrouped (same address, permits regrouped)</t>
  </si>
  <si>
    <t>Removed (no longer a project)</t>
  </si>
  <si>
    <t>Added (a project only after)</t>
  </si>
  <si>
    <t>Notes</t>
  </si>
  <si>
    <t>Before and after are two runs of the same pipeline. When both use the same permit pull, every difference is the rule change. When the pull dates differ, projects marked added or removed on the Projects sheet may be new permits rather than rule effects; changed projects are always rule effects.</t>
  </si>
  <si>
    <t>Last 12 months and this term are the two windows the site opens on. Gross, lost, net and rate follow docs/METHODOLOGY.md: rate is net per 1,000 existing units, from Cook County Assessor parcels (the Existing units column).</t>
  </si>
  <si>
    <t>Ranks are the site's: by rate, ties broken on net, then gross. They are written as values because that tie-break has no spreadsheet formula. Everything else that is derived (changes, totals, rates) is a formula.</t>
  </si>
  <si>
    <t>A removed project is one the new rules no longer make a project at all, for example a demolition that turned out to be a garage or a smokestack. An added project is the reverse.</t>
  </si>
  <si>
    <t>Ward</t>
  </si>
  <si>
    <t>Alder</t>
  </si>
  <si>
    <t>Existing units (2020)</t>
  </si>
  <si>
    <t>Gross before</t>
  </si>
  <si>
    <t>Gross after</t>
  </si>
  <si>
    <t>Gross change</t>
  </si>
  <si>
    <t>Lost before</t>
  </si>
  <si>
    <t>Lost after</t>
  </si>
  <si>
    <t>Lost change</t>
  </si>
  <si>
    <t>Net before</t>
  </si>
  <si>
    <t>Net after</t>
  </si>
  <si>
    <t>Net change</t>
  </si>
  <si>
    <t>Rate before (net per 1,000)</t>
  </si>
  <si>
    <t>Rate after</t>
  </si>
  <si>
    <t>Rate change</t>
  </si>
  <si>
    <t>Counted projects before</t>
  </si>
  <si>
    <t>Counted projects after</t>
  </si>
  <si>
    <t>Rank before</t>
  </si>
  <si>
    <t>Rank after</t>
  </si>
  <si>
    <t>Rank move (+ = up)</t>
  </si>
  <si>
    <t>Emergency units before (not counted)</t>
  </si>
  <si>
    <t>Emergency units after</t>
  </si>
  <si>
    <t>Walter R. Burnett</t>
  </si>
  <si>
    <t>William Conway</t>
  </si>
  <si>
    <t>Daniel La Spata</t>
  </si>
  <si>
    <t>Jason C. Ervin</t>
  </si>
  <si>
    <t>Scott Waguespack</t>
  </si>
  <si>
    <t>Monique L. Scott</t>
  </si>
  <si>
    <t>Pat Dowell</t>
  </si>
  <si>
    <t>Jessica L. Fuentes</t>
  </si>
  <si>
    <t>Byron Sigcho-Lopez</t>
  </si>
  <si>
    <t>Michael D. Rodriguez</t>
  </si>
  <si>
    <t>Angela Clay</t>
  </si>
  <si>
    <t>Leni Manaa-Hoppenworth</t>
  </si>
  <si>
    <t>Jeanette B. Taylor</t>
  </si>
  <si>
    <t>Brendan Reilly</t>
  </si>
  <si>
    <t>Jr., Andre Vasquez</t>
  </si>
  <si>
    <t>Lamont J. Robinson</t>
  </si>
  <si>
    <t>William E. Hall</t>
  </si>
  <si>
    <t>Bennett R. Lawson</t>
  </si>
  <si>
    <t>Julia M. Ramirez</t>
  </si>
  <si>
    <t>Nicole T. Lee</t>
  </si>
  <si>
    <t>Jeylu B. Gutierrez</t>
  </si>
  <si>
    <t>Emma Mitts</t>
  </si>
  <si>
    <t>Raymond A. Lopez</t>
  </si>
  <si>
    <t>Ronnie L. Mosley</t>
  </si>
  <si>
    <t>Gilbert Villegas</t>
  </si>
  <si>
    <t>Timothy R. Knudsen</t>
  </si>
  <si>
    <t>Anthony J. Quezada</t>
  </si>
  <si>
    <t>Rossana Rodriguez Sanchez</t>
  </si>
  <si>
    <t>Matthew J. Martin</t>
  </si>
  <si>
    <t>Nicholas Sposato</t>
  </si>
  <si>
    <t>Brian Hopkins</t>
  </si>
  <si>
    <t>Stephanie D. Coleman</t>
  </si>
  <si>
    <t>Anthony V. Napolitano</t>
  </si>
  <si>
    <t>James M. Gardiner</t>
  </si>
  <si>
    <t>Gregory I. Mitchell</t>
  </si>
  <si>
    <t>Debra L. Silverstein</t>
  </si>
  <si>
    <t>Samantha Nugent</t>
  </si>
  <si>
    <t>Michelle A. Harris</t>
  </si>
  <si>
    <t>Chris Taliaferro</t>
  </si>
  <si>
    <t>David H. Moore</t>
  </si>
  <si>
    <t>Matthew J. O'Shea</t>
  </si>
  <si>
    <t>Jr., Felix Cardona</t>
  </si>
  <si>
    <t>Maria E. Hadden</t>
  </si>
  <si>
    <t>Anthony Beale</t>
  </si>
  <si>
    <t>Ruth Cruz</t>
  </si>
  <si>
    <t>Derrick G. Curtis</t>
  </si>
  <si>
    <t>Marty Quinn</t>
  </si>
  <si>
    <t>Peter Chico</t>
  </si>
  <si>
    <t>Silvana Tabares</t>
  </si>
  <si>
    <t>Desmon C. Yancy</t>
  </si>
  <si>
    <t/>
  </si>
  <si>
    <t>Status</t>
  </si>
  <si>
    <t>Address</t>
  </si>
  <si>
    <t>Kind</t>
  </si>
  <si>
    <t>Permit date</t>
  </si>
  <si>
    <t>Units before</t>
  </si>
  <si>
    <t>Units after</t>
  </si>
  <si>
    <t>Units change</t>
  </si>
  <si>
    <t>Counted before</t>
  </si>
  <si>
    <t>Counted after</t>
  </si>
  <si>
    <t>Flags before</t>
  </si>
  <si>
    <t>Flags after</t>
  </si>
  <si>
    <t>Permit</t>
  </si>
  <si>
    <t>Description</t>
  </si>
  <si>
    <t>removed</t>
  </si>
  <si>
    <t>421 W MELROSE ST</t>
  </si>
  <si>
    <t>demolition</t>
  </si>
  <si>
    <t>2026-04-15</t>
  </si>
  <si>
    <t>yes</t>
  </si>
  <si>
    <t>assessor_units, summed_parcels</t>
  </si>
  <si>
    <t>B101075517</t>
  </si>
  <si>
    <t>COMPLEX DEMOLITION: WRECK AND REMOVE AN EXTERIOR METAL SMOKESTACK FROM ROOF TO BASEMENT</t>
  </si>
  <si>
    <t>2026 N ORLEANS ST</t>
  </si>
  <si>
    <t>2025-06-25</t>
  </si>
  <si>
    <t>assessor_units</t>
  </si>
  <si>
    <t>B101069240</t>
  </si>
  <si>
    <t>WRECK AND REMOVE A AN OVERSIZED MASONRY GARAGE ONLY. NO WORK TO FRONT BUILDING.</t>
  </si>
  <si>
    <t>changed</t>
  </si>
  <si>
    <t>3310 N LINCOLN AVE</t>
  </si>
  <si>
    <t>new_construction</t>
  </si>
  <si>
    <t>2025-03-27</t>
  </si>
  <si>
    <t>replaces</t>
  </si>
  <si>
    <t>100984893</t>
  </si>
  <si>
    <t>SPR 2019 CBC: FULL BUILDING PERMIT FOR 6 STORY 24 DWELLING UNIT MIXED USE BUILDING WITH 7 INDOOR PARKING SPACES, ROOFTOP AMENITY DECK, GROUND FLOOR RETAIL SPACE</t>
  </si>
  <si>
    <t>2024-04-23</t>
  </si>
  <si>
    <t>no</t>
  </si>
  <si>
    <t>merged, assessor_units, summed_parcels</t>
  </si>
  <si>
    <t>merged, assessor_units</t>
  </si>
  <si>
    <t>B101035121</t>
  </si>
  <si>
    <t>WRECK AND REMOVE A 3 STORY MASONRY MIXED USE BUILDING</t>
  </si>
  <si>
    <t>6330 W IRVING PARK RD</t>
  </si>
  <si>
    <t>2025-07-03</t>
  </si>
  <si>
    <t>B101066342</t>
  </si>
  <si>
    <t>WRECK AND REMOVE A 1 AND 2 STORY MASONRY BUILDING</t>
  </si>
  <si>
    <t>2156 W WELLINGTON AVE</t>
  </si>
  <si>
    <t>2024-12-06</t>
  </si>
  <si>
    <t>101058176</t>
  </si>
  <si>
    <t>SELF-CERT 2019 CBC: NEW FULLY SPRINKLERED, 3-STORY, 4-DU MASONRY BUILDING WITH OCCUPIABLE ROOFTOP, 4 REAR COVERED PATIOS, TWO 3-CAR EVSE-INSTALLED DETACHED GARA</t>
  </si>
  <si>
    <t>2025-02-19</t>
  </si>
  <si>
    <t>B101056960</t>
  </si>
  <si>
    <t>WRECK AND REMOVE A 1 STORY MASONRY BUILDING</t>
  </si>
  <si>
    <t>2902 N SEELEY AVE</t>
  </si>
  <si>
    <t>2024-07-16</t>
  </si>
  <si>
    <t>101051202</t>
  </si>
  <si>
    <t>**SELF-CERT** 2019 CBC PROPOSED TWO STORY SINGLE FAMILY FRAME RESIDENCE WITH BASEMENT, FRONT OPEN MASONRY STEPS WITH ROOF, REAR CONCRETE PATIO, NEW TWO CAR FRAM</t>
  </si>
  <si>
    <t>2024-07-01</t>
  </si>
  <si>
    <t>B101043351</t>
  </si>
  <si>
    <t>WRECK AND REMOVE A 2 STORY FRAME MULTI UNIT RESIDENCE AND A DETACHED FRAME GARAGE</t>
  </si>
  <si>
    <t>4329 N ASHLAND AVE</t>
  </si>
  <si>
    <t>2023-06-26</t>
  </si>
  <si>
    <t>B101013504</t>
  </si>
  <si>
    <t>WRECK AND REMOVE A 1 STORY MASONRY OVERSIZED GARAGE</t>
  </si>
  <si>
    <t>1924 W CUYLER AVE</t>
  </si>
  <si>
    <t>2024-03-26</t>
  </si>
  <si>
    <t>101041481</t>
  </si>
  <si>
    <t>SELF-CERT 2019 CBC: ERECT A NEW TWO STORY FRAME SINGLE FAMILY RESIDENCE WITH BASEMENT AND DETACHED 2 CAR GARAGE WITH ROOF DECK AND ACCESS STAIRS, AS PER PLANS.</t>
  </si>
  <si>
    <t>2024-03-18</t>
  </si>
  <si>
    <t>B101042276</t>
  </si>
  <si>
    <t>WRECK AND REMOVE A TWO STORY FRAME RESIDENTIAL BUIDING AND DETACHED FRAME GARAGE</t>
  </si>
  <si>
    <t>2919 S ARCHER AVE</t>
  </si>
  <si>
    <t>emergency_demolition</t>
  </si>
  <si>
    <t>2023-07-27</t>
  </si>
  <si>
    <t>emergency, assessor_units, summed_parcels, subsidized</t>
  </si>
  <si>
    <t>emergency, assessor_units, subsidized</t>
  </si>
  <si>
    <t>B101012905</t>
  </si>
  <si>
    <t>EMERGENCY WRECK AND REMOVE A 1 STORY MASONRY BUILDING</t>
  </si>
  <si>
    <t>368 E 69TH ST</t>
  </si>
  <si>
    <t>2024-09-13</t>
  </si>
  <si>
    <t>emergency, assessor_units</t>
  </si>
  <si>
    <t>B101055667</t>
  </si>
  <si>
    <t>EMERGENCY WRECK AND REMOVE A 2 STORY MASONRY/FRAME REAR ADDITION ONLY (FIRE DAMAGED)</t>
  </si>
  <si>
    <t>8757 S BALTIMORE AVE</t>
  </si>
  <si>
    <t>2023-12-08</t>
  </si>
  <si>
    <t>B101020498</t>
  </si>
  <si>
    <t>PARTIAL DEMOLITION.  WRECK AND REMOVE AN ATTACHED MASONRY GARAGE, MASONRY WALL AND MASONRY SHED.  MAIN BUILDING TO REMAIN</t>
  </si>
  <si>
    <t>11414 S PERRY AVE</t>
  </si>
  <si>
    <t>2026-05-21</t>
  </si>
  <si>
    <t>multi_permit, assessor_units, summed_parcels</t>
  </si>
  <si>
    <t>not_counted, multi_permit, assessor_units</t>
  </si>
  <si>
    <t>B101076767</t>
  </si>
  <si>
    <t>RLE.  WRECK AND REMOVE A 1 STORY MASONRY EL SHAPED BUILDING</t>
  </si>
  <si>
    <t>1239 N PINE AVE</t>
  </si>
  <si>
    <t>2025-04-29</t>
  </si>
  <si>
    <t>B101068471</t>
  </si>
  <si>
    <t>EMERGENCY WRECK AND REMOVE A DETACHED MASONRY GARAGE ONLY</t>
  </si>
  <si>
    <t>added</t>
  </si>
  <si>
    <t>3018 N HOYNE AVE</t>
  </si>
  <si>
    <t>2024-11-12</t>
  </si>
  <si>
    <t>B101057872</t>
  </si>
  <si>
    <t>WRECK AND REMOVE TWO FRAME RESIDENCES AND DETACHED FRAME GARAGE</t>
  </si>
  <si>
    <t>3404 N ALBANY AVE</t>
  </si>
  <si>
    <t>2026-08-25</t>
  </si>
  <si>
    <t>101084471</t>
  </si>
  <si>
    <t>ERECT NEW TWO STORY SINGLE FAMILY HOME WITH BASEMENT, FRONT STAIR, AND DETACHED 2 CAR GARAGE ( OCCUPANCY R-5, CONSTRUCTION TYPE 5</t>
  </si>
  <si>
    <t>2026-09-28</t>
  </si>
  <si>
    <t>merged, multi_permit, assessor_units, summed_parcels</t>
  </si>
  <si>
    <t>B101084258</t>
  </si>
  <si>
    <t>WRECK AND REMOVE A 2 STORY FRAME MULTI UNIT RESIDENCE AND 1 DETACHED STANDARD SIZE GARAGE</t>
  </si>
  <si>
    <t>3525 N BELL AVE</t>
  </si>
  <si>
    <t>2025-10-10</t>
  </si>
  <si>
    <t>101074185</t>
  </si>
  <si>
    <t>SELF-CERT CBC 2019:TWO STORY FRAME 4A SINGLE FAMILY RESIDENCE WITH BASEMENT, DETACHED GARAGE WITCH ROOF DECK, STAIR, TRELLIS AND SCREEN: (OCCUPANCY R-5; CONSTRU</t>
  </si>
  <si>
    <t>2025-09-25</t>
  </si>
  <si>
    <t>B101072393</t>
  </si>
  <si>
    <t>WRECK AND REMOVE A TWO STORY MASONRY RESIDENTIAL BUIDING AND DETACHED GARAGE</t>
  </si>
  <si>
    <t>415 W 70TH ST</t>
  </si>
  <si>
    <t>2026-05-06</t>
  </si>
  <si>
    <t>B101076680</t>
  </si>
  <si>
    <t>EMERGENCY WRECK AND REMOVE A 2 STORY REAR PORCH ONLY</t>
  </si>
  <si>
    <t>5620 N FRANCISCO AVE</t>
  </si>
  <si>
    <t>2024-12-10</t>
  </si>
  <si>
    <t>101060443</t>
  </si>
  <si>
    <t>SPR 2019 CBC. ERECT A NEW 2 STORY SINGLE FAMILY FRAME RESIDENCE WITH BASEMENT AND DETACHED 2 CAR FRAME GARAGE. NEW 6 FEET HIGH WOOD &amp; IRON FENCE. ALL WORK AS PE</t>
  </si>
  <si>
    <t>2024-11-14</t>
  </si>
  <si>
    <t>B101059272</t>
  </si>
  <si>
    <t>WRECK AND REMOVE A 1 STORY MASONRY RESIDENCE</t>
  </si>
  <si>
    <t>6214 S HERMITAGE AVE</t>
  </si>
  <si>
    <t>2026-02-26</t>
  </si>
  <si>
    <t>B101080191</t>
  </si>
  <si>
    <t>EMERGENCY WRECK AND REMOVE A COLLASPED PORCH ONLY</t>
  </si>
  <si>
    <t>6401 S WHIPPLE ST</t>
  </si>
  <si>
    <t>2024-04-16</t>
  </si>
  <si>
    <t>B101042256</t>
  </si>
  <si>
    <t>EMERGENCY WRECK AND REMOVAL OF A TWO STORY MASONRY RESIDENTIAL BUIDING AND GARAGE</t>
  </si>
  <si>
    <t>1942 N ORCHARD ST</t>
  </si>
  <si>
    <t>2025-04-04</t>
  </si>
  <si>
    <t>101066310</t>
  </si>
  <si>
    <t>SELF-CERT 2019 CBC: FULL BUILDING PERMIT FOR 4 STORY 5 D.U. BUILDING WITH BASEMENT, ROOFTOP DECK, PERGOLA, ROOFTOP STAIR ENCLOSURES, REAR PORCH AT 1ST/2ND/3RD/4</t>
  </si>
  <si>
    <t>2024-09-24</t>
  </si>
  <si>
    <t>B101059168</t>
  </si>
  <si>
    <t>WRECK AND REMOVE A 3 STORY MASONRY RESIDENCE AND A DETACHED FRAME GARAGE</t>
  </si>
  <si>
    <t>2221 N MAGNOLIA AVE</t>
  </si>
  <si>
    <t>2025-09-12</t>
  </si>
  <si>
    <t>101070012</t>
  </si>
  <si>
    <t>SELF CERT  2019 CBC :ERECT A 3 STORY  III A MASONRY SINGLE FAMLY RESIDENCE WITH A BASEMENT AND COVER ROOF DECK  , EQUIPPED WITH AN  NFPA 13D SPRINKLER  SYSTEM ,</t>
  </si>
  <si>
    <t>2025-08-14</t>
  </si>
  <si>
    <t>B101069621</t>
  </si>
  <si>
    <t>WRECK AND REMOVE A 2 STORY MASONRY RESIDENCE AND A DETACHED FRAME GARAGE</t>
  </si>
  <si>
    <t>2823 W CHASE AVE</t>
  </si>
  <si>
    <t>2024-09-06</t>
  </si>
  <si>
    <t>101043702</t>
  </si>
  <si>
    <t xml:space="preserve">SELF - CERT 2019 CBC. NEW 3 STORY SPRINKLERED (NFPA 13D) SINGLE FAMILY RESIDENCE WITH BASEMENT AND ATTACHED 2 CAR GARAGE. UNOCCUPIED ATTIC SPACE (903 SQ.FT.) &lt; </t>
  </si>
  <si>
    <t>2024-08-29</t>
  </si>
  <si>
    <t>B101046710</t>
  </si>
  <si>
    <t>WRECK AND REMOVE A 2 STORY MASONRY RESIDENCE</t>
  </si>
  <si>
    <t>2936 W ADAMS ST</t>
  </si>
  <si>
    <t>2025-01-07</t>
  </si>
  <si>
    <t>B101056750</t>
  </si>
  <si>
    <t>WRECK AND REMOVE A 1 STORY FRAME REAR ADDITION ONLY</t>
  </si>
  <si>
    <t>2939 W MORSE AVE</t>
  </si>
  <si>
    <t>2024-03-29</t>
  </si>
  <si>
    <t>B101042235</t>
  </si>
  <si>
    <t>WRECK AND REMOVE A ONE STORY MASONRY RESIDENTIAL BUILDING</t>
  </si>
  <si>
    <t>3114 N OLCOTT AVE</t>
  </si>
  <si>
    <t>2024-01-22</t>
  </si>
  <si>
    <t>100998580</t>
  </si>
  <si>
    <t>SPR 2019 CBC ERECT 2-STORY SINGLE FAMILY RESIDENCE WITH BASEMENT AND REAR WOOD DECK. ERECT 2-CAR GARAGE. ERECT COMBINATION OF 5' HIGH WROUGHT IRON AND 6' HIGH W</t>
  </si>
  <si>
    <t>2024-03-14</t>
  </si>
  <si>
    <t>B101045406</t>
  </si>
  <si>
    <t>WRECK AND REMOVE A 1 STORY FRAME RESIDENCE</t>
  </si>
  <si>
    <t>3327 W 109TH ST</t>
  </si>
  <si>
    <t>2025-11-05</t>
  </si>
  <si>
    <t>101074306</t>
  </si>
  <si>
    <t>SPR 2019 CBC: PROPOSED 2 STORY FRAME SINGLE FAMILY RESIDENCE WITH BASEMENT, FRONT OPEN  PORCH, REAR COVERED PATIO AND 2 CAR ATTACHED GARAGE AS PER PLANS.**CERTI</t>
  </si>
  <si>
    <t>2025-09-10</t>
  </si>
  <si>
    <t>B101072831</t>
  </si>
  <si>
    <t>WRECK AND REMOVE A 1 STORY FRAME RESIDENCE AND A DETACHED FRAME GARAGE</t>
  </si>
  <si>
    <t>5359 N MELVINA AVE</t>
  </si>
  <si>
    <t>2025-07-30</t>
  </si>
  <si>
    <t>B101069307</t>
  </si>
  <si>
    <t>WRECK AND REMOVE A 2 STORY MASONRY RESIDENCE AND ONLY 1 OF 2 DETACHED FRAME GARAGES</t>
  </si>
  <si>
    <t>5401 N MONT CLARE AVE</t>
  </si>
  <si>
    <t>2023-10-11</t>
  </si>
  <si>
    <t>B101009684</t>
  </si>
  <si>
    <t>5659 S KILDARE AVE</t>
  </si>
  <si>
    <t>2024-02-07</t>
  </si>
  <si>
    <t>emergency, assessor_units, summed_parcels</t>
  </si>
  <si>
    <t>B101032949</t>
  </si>
  <si>
    <t>EMERGENCY WRECK AND REMOVE A 1 STORY MASONRY RESIDENCE</t>
  </si>
  <si>
    <t>6050 N BERNARD ST</t>
  </si>
  <si>
    <t>2023-11-16</t>
  </si>
  <si>
    <t>B101029370</t>
  </si>
  <si>
    <t>WRECK AND REMOVE A 2 STORY MASONRY RESIDENCE WITH ATTACHED MASONRY GARAGE</t>
  </si>
  <si>
    <t>7350 N OCTAVIA AVE</t>
  </si>
  <si>
    <t>2026-10-06</t>
  </si>
  <si>
    <t>B101084252</t>
  </si>
  <si>
    <t>WRECK AND REMOVE A 1 STORY MASONRY RESIDENCE AND A DETACHED FRAME GARAGE</t>
  </si>
  <si>
    <t>1111 W CERMAK RD</t>
  </si>
  <si>
    <t>2024-09-16</t>
  </si>
  <si>
    <t>not_counted, assessor_units, summed_parcels</t>
  </si>
  <si>
    <t>B101043388</t>
  </si>
  <si>
    <t>WRECK AND REMOVE 1 FLY ASH TANK ONLY</t>
  </si>
  <si>
    <t>1200 W BELMONT AVE</t>
  </si>
  <si>
    <t>2023-10-26</t>
  </si>
  <si>
    <t>not_counted, assessor_units</t>
  </si>
  <si>
    <t>B101022544</t>
  </si>
  <si>
    <t>WRECK AND REMOVE A 1 STORY MASONRY GAS STATION AND METAL CANOPY</t>
  </si>
  <si>
    <t>12247 S HALSTED ST</t>
  </si>
  <si>
    <t>2026-01-28</t>
  </si>
  <si>
    <t>emergency, no_parcel</t>
  </si>
  <si>
    <t>B101077502</t>
  </si>
  <si>
    <t>EMERGENCY WRECK AND REMOVE AN OVERSIZED MASONRY/FRAME GARAGE ONLY</t>
  </si>
  <si>
    <t>1443 S KEELER AVE</t>
  </si>
  <si>
    <t>2023-07-03</t>
  </si>
  <si>
    <t>not_counted, no_parcel</t>
  </si>
  <si>
    <t>B101007026</t>
  </si>
  <si>
    <t>WRECK AND REMOVE A 1 STORY MASONRY GARAGE</t>
  </si>
  <si>
    <t>1539 N PULASKI RD</t>
  </si>
  <si>
    <t>2026-02-19</t>
  </si>
  <si>
    <t>B101075270</t>
  </si>
  <si>
    <t>COMPLEX DEMOLITION: PARTIAL DEMOLITION OF A 2 STORY MASONRY BUILDING.  THE FRONT 33'8" OF THE BUILDING TO REMAIN (FACADE HISTORICALLY SIGNIFICANT) WITH SELECTIV</t>
  </si>
  <si>
    <t>1601 W SUPERIOR ST</t>
  </si>
  <si>
    <t>2026-04-28</t>
  </si>
  <si>
    <t>B101081486</t>
  </si>
  <si>
    <t>WRECK AND REMOVE A 12 STORY MASONRY COMMERCIAL GARAGE</t>
  </si>
  <si>
    <t>1747 W CARROLL AVE</t>
  </si>
  <si>
    <t>2025-04-23</t>
  </si>
  <si>
    <t>B101065376</t>
  </si>
  <si>
    <t>WRECK AND REMOVE A WOOD ROOFTOP WATER TANK.  METAL SUPPORT STRUCTURE TO REMAIN.</t>
  </si>
  <si>
    <t>1750 N LAWNDALE AVE</t>
  </si>
  <si>
    <t>2023-08-15</t>
  </si>
  <si>
    <t>B101027793</t>
  </si>
  <si>
    <t>EMERGENCY WRECK AND REMOVE A ROOFTOP WATER TANK (REMOVED PREVIOUSLY WITHOUT A PERMIT)</t>
  </si>
  <si>
    <t>2221 S MICHIGAN AVE</t>
  </si>
  <si>
    <t>2024-05-15</t>
  </si>
  <si>
    <t>B101040196</t>
  </si>
  <si>
    <t>WRECK AND REMOVE A ROOFTOP WATER TOWER ONLY</t>
  </si>
  <si>
    <t>2249 W OAKDALE AVE</t>
  </si>
  <si>
    <t>2024-06-24</t>
  </si>
  <si>
    <t>B101039652</t>
  </si>
  <si>
    <t>WRECK AND REMOVE A 1 STORY MASONRY BUILDING (PARTIALLY DEMOLISHED WITHOUT A PERMIT.  FAILED TO FOLLOW THROUGH WITH ADMINISTRATIVE ORDER FROM 2021)</t>
  </si>
  <si>
    <t>2500 W FULTON ST</t>
  </si>
  <si>
    <t>2024-07-31</t>
  </si>
  <si>
    <t>B101051113</t>
  </si>
  <si>
    <t>WRECK AND REMOVE A FIRE DAMAGED SECTION OF A 1 STORY MASONRY BUILDING (PARTIAL DEMO ONLY)</t>
  </si>
  <si>
    <t>2517 W CERMAK RD</t>
  </si>
  <si>
    <t>2026-01-15</t>
  </si>
  <si>
    <t>B101077261</t>
  </si>
  <si>
    <t>PRIVATE EMERGENCY WRECK AND REMOVE A 1 STORY PARTIALLY COLLAPSED (FIRE DAMAGED) FRAME/MASONRY STRIP MALL</t>
  </si>
  <si>
    <t>regrouped</t>
  </si>
  <si>
    <t>2900 S DAMEN AVE</t>
  </si>
  <si>
    <t>B101067541</t>
  </si>
  <si>
    <t>WRECK AND REMOVE A 10 STORY CONCRETE BUILDING/SILOS (SILOS 1 IN OVERHEAD PHOTO) TO TOP OF SLAB</t>
  </si>
  <si>
    <t>2909 W IRVING PARK RD</t>
  </si>
  <si>
    <t>2025-06-11</t>
  </si>
  <si>
    <t>B101068524</t>
  </si>
  <si>
    <t>WRECK AND REMOVE FOUNDATIONS ONLY.  NO EXCAVATION BELOW 5FT</t>
  </si>
  <si>
    <t>3031 W POLK ST</t>
  </si>
  <si>
    <t>2025-07-02</t>
  </si>
  <si>
    <t>B101068756</t>
  </si>
  <si>
    <t>WRECK AND REMOVE FOUNDATIONS ONLY</t>
  </si>
  <si>
    <t>3501 S NORMAL AVE</t>
  </si>
  <si>
    <t>2024-03-28</t>
  </si>
  <si>
    <t>B101043278</t>
  </si>
  <si>
    <t>WRECK AND REMOVE A 1 STORY STEEL CANOPY ONLY</t>
  </si>
  <si>
    <t>3516 N CENTRAL AVE</t>
  </si>
  <si>
    <t>B101041579</t>
  </si>
  <si>
    <t>WRECK AND REMOVE A 1 STORY MASONRY MULTI CAR GARAGE</t>
  </si>
  <si>
    <t>4201 W 69TH ST</t>
  </si>
  <si>
    <t>B101065373</t>
  </si>
  <si>
    <t>WRECK AND REMOVE A 1 STORY ABOVE GROUND STORAGE TANK</t>
  </si>
  <si>
    <t>4313 N LINCOLN AVE</t>
  </si>
  <si>
    <t>2025-03-18</t>
  </si>
  <si>
    <t>B101061364</t>
  </si>
  <si>
    <t>WRECK AND PARTIALLY REMOVE A 1 STORY MASONRY BUILDING.  EAST WALL ALONG ALLEY AND FLEXI-CORE BASEMENT TO REMAIN</t>
  </si>
  <si>
    <t>4430 W DIVISION ST</t>
  </si>
  <si>
    <t>2024-11-27</t>
  </si>
  <si>
    <t>B101056478</t>
  </si>
  <si>
    <t>WRECK AND REMOVE A 31,000 SQ FT INDUSTRIAL WAREHOUSE, ALL FOUNDATIONS, FLOOR SLABS AND PAVEMENT TO REMAIN (SMELTER BUILDING C)</t>
  </si>
  <si>
    <t>4500 W DIVISION ST</t>
  </si>
  <si>
    <t>B101056477</t>
  </si>
  <si>
    <t>WRECK AND REMOVE A 8750 SQ FT INDUSTRIAL WAREHOUSE, ALL FOUNDATIONS, FLOOR SLABS AND PAVEMENT TO REMAIN (SMELTER BUILDING B)</t>
  </si>
  <si>
    <t>452 E 103RD ST</t>
  </si>
  <si>
    <t>2024-11-06</t>
  </si>
  <si>
    <t>B101059217</t>
  </si>
  <si>
    <t>4528 W DIVISION ST</t>
  </si>
  <si>
    <t>2024-12-18</t>
  </si>
  <si>
    <t>B101056476</t>
  </si>
  <si>
    <t>WRECK AND REMOVE A 70,000 SQ FT INDUSTRIAL WAREHOUSE, ALL FOUNDATIONS, FLOOR SLABS AND PAVEMENT TO REMAIN (SMELTER BUILDING B)</t>
  </si>
  <si>
    <t>4627 N WESTERN AVE</t>
  </si>
  <si>
    <t>2025-08-28</t>
  </si>
  <si>
    <t>B101065741</t>
  </si>
  <si>
    <t>WRECK AND REMOVE A BUS TURN AROUND CANOPY ONLY</t>
  </si>
  <si>
    <t>4658 S CALIFORNIA AVE</t>
  </si>
  <si>
    <t>2025-01-10</t>
  </si>
  <si>
    <t>B101062570</t>
  </si>
  <si>
    <t>WRECK AND REMOVE A METAL CANOPY ONLY</t>
  </si>
  <si>
    <t>4901 S KEDZIE AVE</t>
  </si>
  <si>
    <t>2026-05-05</t>
  </si>
  <si>
    <t>B101077814</t>
  </si>
  <si>
    <t>COMPLEX DEMOLITION: WRFECK AND REMOVE A 1 STORY METGAL BUILDIKNG INCLUDING FOOTINGS AND FOUNDATIONS.  (PLANT D)</t>
  </si>
  <si>
    <t>509 W ELM ST</t>
  </si>
  <si>
    <t>2024-01-26</t>
  </si>
  <si>
    <t>B101033310</t>
  </si>
  <si>
    <t>WRECK AND REMOVE THE TWO STORY MASONRY ADDITION TO THE WEST OF CHURCH (23 X 52) ONLY</t>
  </si>
  <si>
    <t>527 S WELLS ST</t>
  </si>
  <si>
    <t>2026-05-20</t>
  </si>
  <si>
    <t>B101083276</t>
  </si>
  <si>
    <t>COMPLEX DEMOLITION: WRECK AND REMOVE A ROOFTOP WATER TOWER ONLY (PREVIOUSLY DEMOLISHED WITHOUT A PERMIT)</t>
  </si>
  <si>
    <t>5550 N HARLEM AVE</t>
  </si>
  <si>
    <t>2024-02-06</t>
  </si>
  <si>
    <t>B101039595</t>
  </si>
  <si>
    <t>PARTIAL DEMOLITION OF BUS BRIDGE CANOPY</t>
  </si>
  <si>
    <t>5601 N OVERHILL AVE</t>
  </si>
  <si>
    <t>2026-09-22</t>
  </si>
  <si>
    <t>B101085855</t>
  </si>
  <si>
    <t>COMPLEX DEMOLITION: WRECK AND REMOVE A 1 STORY OVERSIZED FRAME GARAGE ONLY</t>
  </si>
  <si>
    <t>5714 N LINCOLN AVE</t>
  </si>
  <si>
    <t>2024-10-22</t>
  </si>
  <si>
    <t>B101057905</t>
  </si>
  <si>
    <t>PARTIAL WRECK AND REMOVAL OF 3 PORTIONS OF BUILDING: AUTO DAY AREA, SIDE AREA, OLD CAR WASH ENTRANCE</t>
  </si>
  <si>
    <t>6055 N MILWAUKEE AVE</t>
  </si>
  <si>
    <t>2023-11-09</t>
  </si>
  <si>
    <t>B101035044</t>
  </si>
  <si>
    <t>WRECK AND REMOVE A 1 STORY FRAME ADDITION</t>
  </si>
  <si>
    <t>6430 S STONY ISLAND AVE</t>
  </si>
  <si>
    <t>2024-02-22</t>
  </si>
  <si>
    <t>not_counted, needs_review, no_parcel</t>
  </si>
  <si>
    <t>B101039937</t>
  </si>
  <si>
    <t>WRECK AND REMOVE A 1 STORY MASONRY PARKING GARAGE</t>
  </si>
  <si>
    <t>900 S COLUMBUS DR</t>
  </si>
  <si>
    <t>2024-06-12</t>
  </si>
  <si>
    <t>B101046601</t>
  </si>
  <si>
    <t>EMERGENCY (ADMINISTRATIVE ORDER) WRECK AND REMOVE THE SOUTH PORTION OF A 1 STORY METAL GARAGE BAY BUILDING</t>
  </si>
  <si>
    <t>903 N WINCHESTER AVE</t>
  </si>
  <si>
    <t>2025-10-08</t>
  </si>
  <si>
    <t>merged, multi_permit, assessor_units</t>
  </si>
  <si>
    <t>B101072985</t>
  </si>
  <si>
    <t>WRECK AND REMOVE A 2 STORY MASONRY COACH HOUSE (REAR)</t>
  </si>
  <si>
    <t>909 W BLISS ST</t>
  </si>
  <si>
    <t>B101047886</t>
  </si>
  <si>
    <t>WRECK AND REMOVE (PARTIAL DEMO) THE SOUTHEAST PORTION OF A 3 STORY MASONRY COMMERCIAL BUIIDING</t>
  </si>
  <si>
    <t>9267 S HARBOR AVE</t>
  </si>
  <si>
    <t>2026-09-23</t>
  </si>
  <si>
    <t>B101085166</t>
  </si>
  <si>
    <t>COMPLEX DEMOLITION: EMERGENCY WRECK AND REMOVE 1 SALT SILO (DOME COLLLAPSED)</t>
  </si>
  <si>
    <t>935 E 56TH ST</t>
  </si>
  <si>
    <t>B101054332</t>
  </si>
  <si>
    <t>COMPLEX DEMOLITION: WRECK AND REMOVE A CONCRETE HIGH ENERGY PHYSICS BUILDING INCLUDING BELOW GRADE CONCRETE REMOVAL AND FOUNDATIONS DOWN TO 10FT BELOW GRADE. PA</t>
  </si>
  <si>
    <t>954 N WESTERN AVE</t>
  </si>
  <si>
    <t>2026-02-05</t>
  </si>
  <si>
    <t>B101077519</t>
  </si>
  <si>
    <t>COMPLEX DEMOLITION: WRECK AND REMOVE A 1 STORY METAL CANOPY AND KIOSK (GAS STATION)</t>
  </si>
  <si>
    <t>What changed</t>
  </si>
  <si>
    <t>Three demolition rules: partial demolitions count zero, retired and shared parcels count once, large assessor counts are held. A permit for only a part or an outbuilding (smokestack, garage, porch, rear addition) counts zero units and skips the assessor; the assessor lookup leaves out parcels the county retired before the lookup year and counts lots that carry the same building record once; an assessor-sourced demolition of seven or more units is held for review and not counted until a corrections row confirms it. Before is commit 6f68945 (yesterday's rules) and after is the working tree, both dry-run on the same cached permit pull, so every difference is the rules.</t>
  </si>
  <si>
    <t>Files</t>
  </si>
  <si>
    <t>AGENTS.md           |    7 +</t>
  </si>
  <si>
    <t xml:space="preserve"> README.md           |   12 +</t>
  </si>
  <si>
    <t xml:space="preserve"> docs/METHODOLOGY.md |    1 +</t>
  </si>
  <si>
    <t xml:space="preserve"> package-lock.json   | 1128 ++++++++++++++++++++++++++++++++++++++++++++++++++-</t>
  </si>
  <si>
    <t xml:space="preserve"> package.json        |    4 +-</t>
  </si>
  <si>
    <t xml:space="preserve"> 5 files changed, 1137 insertions(+), 15 deletions(-)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</si>
</sst>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
    <numFmt numFmtId="165" formatCode="+#,##0;-#,##0;0"/>
    <numFmt numFmtId="166" formatCode="0.0;-0.0;0.0"/>
    <numFmt numFmtId="167" formatCode="+0.0;-0.0;0.0"/>
  </numFmts>
  <fonts count="6" x14ac:knownFonts="1">
    <font>
      <color theme="1"/>
      <family val="2"/>
      <scheme val="minor"/>
      <sz val="11"/>
      <name val="Calibri"/>
    </font>
    <font>
      <b/>
      <sz val="14"/>
      <name val="Arial"/>
    </font>
    <font>
      <b/>
      <sz val="10"/>
      <name val="Arial"/>
    </font>
    <font>
      <sz val="10"/>
      <name val="Arial"/>
    </font>
    <font>
      <b/>
      <sz val="12"/>
      <name val="Arial"/>
    </font>
    <font>
      <sz val="10"/>
      <name val="Courier New"/>
    </font>
  </fonts>
  <fills count="3">
    <fill>
      <patternFill patternType="none"/>
    </fill>
    <fill>
      <patternFill patternType="gray125"/>
    </fill>
    <fill>
      <patternFill patternType="solid">
        <fgColor rgb="FFE4E4E7"/>
      </patternFill>
    </fill>
  </fills>
  <borders count="3">
    <border>
      <left/>
      <right/>
      <top/>
      <bottom/>
      <diagonal/>
    </border>
    <border>
      <left/>
      <right/>
      <top/>
      <bottom style="thin">
        <color rgb="FFA1A1AA"/>
      </bottom>
      <diagonal/>
    </border>
    <border>
      <left/>
      <right/>
      <top style="thin">
        <color rgb="FFA1A1AA"/>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xf numFmtId="0" fontId="3" fillId="0" borderId="0" xfId="0" applyFont="1" applyAlignment="1"/>
    <xf numFmtId="0" fontId="4" fillId="0" borderId="0" xfId="0" applyFont="1"/>
    <xf numFmtId="0" fontId="2" fillId="2" borderId="1" xfId="0" applyFont="1" applyFill="1" applyBorder="1" applyAlignment="1">
      <alignment vertical="center" wrapText="1"/>
    </xf>
    <xf numFmtId="0" fontId="3" fillId="0" borderId="0" xfId="0" applyFont="1"/>
    <xf numFmtId="164" fontId="3" fillId="0" borderId="0" xfId="0" applyNumberFormat="1" applyFont="1"/>
    <xf numFmtId="165" fontId="3" fillId="0" borderId="0" xfId="0" applyNumberFormat="1" applyFont="1"/>
    <xf numFmtId="166" fontId="3" fillId="0" borderId="0" xfId="0" applyNumberFormat="1" applyFont="1"/>
    <xf numFmtId="167" fontId="3" fillId="0" borderId="0" xfId="0" applyNumberFormat="1" applyFont="1"/>
    <xf numFmtId="0" fontId="3" fillId="0" borderId="0" xfId="0" applyFont="1" applyAlignment="1">
      <alignment vertical="top" wrapText="1"/>
    </xf>
    <xf numFmtId="0" fontId="2" fillId="0" borderId="2" xfId="0" applyFont="1" applyBorder="1"/>
    <xf numFmtId="164" fontId="2" fillId="0" borderId="2" xfId="0" applyNumberFormat="1" applyFont="1" applyBorder="1"/>
    <xf numFmtId="165" fontId="2" fillId="0" borderId="2" xfId="0" applyNumberFormat="1" applyFont="1" applyBorder="1"/>
    <xf numFmtId="166" fontId="2" fillId="0" borderId="2" xfId="0" applyNumberFormat="1" applyFont="1" applyBorder="1"/>
    <xf numFmtId="167" fontId="2" fillId="0" borderId="2" xfId="0" applyNumberFormat="1" applyFont="1" applyBorder="1"/>
    <xf numFmtId="0" fontId="5" fillId="0" borderId="0" xfId="0" applyFont="1"/>
  </cellXfs>
  <cellStyles count="1">
    <cellStyle name="Normal" xfId="0" builtinId="0"/>
  </cellStyles>
  <dxfs count="46">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
      <font>
        <color rgb="FF047857"/>
      </font>
    </dxf>
    <dxf>
      <font>
        <color rgb="FFB91C1C"/>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7"/>
  <sheetViews>
    <sheetView workbookViewId="0" showGridLines="0"/>
  </sheetViews>
  <sheetFormatPr defaultRowHeight="15" outlineLevelRow="0" outlineLevelCol="0" x14ac:dyDescent="55"/>
  <cols>
    <col min="1" max="1" width="34" customWidth="1"/>
    <col min="2" max="4" width="16" customWidth="1"/>
  </cols>
  <sheetData>
    <row r="1" spans="1:1" x14ac:dyDescent="0.25">
      <c r="A1" s="1" t="s">
        <v>0</v>
      </c>
    </row>
    <row r="2" spans="1:2" x14ac:dyDescent="0.25">
      <c r="A2" s="2" t="s">
        <v>1</v>
      </c>
      <c r="B2" s="3" t="s">
        <v>2</v>
      </c>
    </row>
    <row r="3" spans="1:2" x14ac:dyDescent="0.25">
      <c r="A3" s="2" t="s">
        <v>3</v>
      </c>
      <c r="B3" s="3" t="s">
        <v>4</v>
      </c>
    </row>
    <row r="4" spans="1:2" x14ac:dyDescent="0.25">
      <c r="A4" s="2" t="s">
        <v>5</v>
      </c>
      <c r="B4" s="3" t="s">
        <v>6</v>
      </c>
    </row>
    <row r="5" spans="1:2" x14ac:dyDescent="0.25">
      <c r="A5" s="2" t="s">
        <v>7</v>
      </c>
      <c r="B5" s="3" t="s">
        <v>8</v>
      </c>
    </row>
    <row r="7" spans="1:1" x14ac:dyDescent="0.25">
      <c r="A7" s="4" t="s">
        <v>9</v>
      </c>
    </row>
    <row r="8" ht="30" customHeight="1" spans="1:4" x14ac:dyDescent="0.25">
      <c r="A8" s="5" t="s">
        <v>10</v>
      </c>
      <c r="B8" s="5" t="s">
        <v>3</v>
      </c>
      <c r="C8" s="5" t="s">
        <v>5</v>
      </c>
      <c r="D8" s="5" t="s">
        <v>11</v>
      </c>
    </row>
    <row r="9" spans="1:4" x14ac:dyDescent="0.25">
      <c r="A9" s="6" t="s">
        <v>12</v>
      </c>
      <c r="B9" s="7">
        <f>'Wards (last 12 months)'!D52</f>
        <v>5118</v>
      </c>
      <c r="C9" s="7">
        <f>'Wards (last 12 months)'!E52</f>
        <v>5118</v>
      </c>
      <c r="D9" s="8">
        <f>C9-B9</f>
        <v>0</v>
      </c>
    </row>
    <row r="10" spans="1:4" x14ac:dyDescent="0.25">
      <c r="A10" s="6" t="s">
        <v>13</v>
      </c>
      <c r="B10" s="7">
        <f>'Wards (last 12 months)'!G52</f>
        <v>718</v>
      </c>
      <c r="C10" s="7">
        <f>'Wards (last 12 months)'!H52</f>
        <v>633</v>
      </c>
      <c r="D10" s="8">
        <f>C10-B10</f>
        <v>-85</v>
      </c>
    </row>
    <row r="11" spans="1:4" x14ac:dyDescent="0.25">
      <c r="A11" s="6" t="s">
        <v>14</v>
      </c>
      <c r="B11" s="7">
        <f>'Wards (last 12 months)'!J52</f>
        <v>4400</v>
      </c>
      <c r="C11" s="7">
        <f>'Wards (last 12 months)'!K52</f>
        <v>4485</v>
      </c>
      <c r="D11" s="8">
        <f>C11-B11</f>
        <v>85</v>
      </c>
    </row>
    <row r="12" spans="1:4" x14ac:dyDescent="0.25">
      <c r="A12" s="6" t="s">
        <v>15</v>
      </c>
      <c r="B12" s="9">
        <f>'Wards (last 12 months)'!M52</f>
        <v>3.3951665174851073</v>
      </c>
      <c r="C12" s="9">
        <f>'Wards (last 12 months)'!N52</f>
        <v>3.460754961572888</v>
      </c>
      <c r="D12" s="10">
        <f>C12-B12</f>
        <v>0.06558844408778075</v>
      </c>
    </row>
    <row r="13" spans="1:4" x14ac:dyDescent="0.25">
      <c r="A13" s="6" t="s">
        <v>16</v>
      </c>
      <c r="B13" s="7">
        <f>'Wards (last 12 months)'!P52</f>
        <v>1154</v>
      </c>
      <c r="C13" s="7">
        <f>'Wards (last 12 months)'!Q52</f>
        <v>1152</v>
      </c>
      <c r="D13" s="8">
        <f>C13-B13</f>
        <v>-2</v>
      </c>
    </row>
    <row r="14" spans="1:4" x14ac:dyDescent="0.25">
      <c r="A14" s="6" t="s">
        <v>17</v>
      </c>
      <c r="B14" s="7">
        <f>'Wards (last 12 months)'!U52</f>
        <v>250</v>
      </c>
      <c r="C14" s="7">
        <f>'Wards (last 12 months)'!V52</f>
        <v>246</v>
      </c>
      <c r="D14" s="8">
        <f>C14-B14</f>
        <v>-4</v>
      </c>
    </row>
    <row r="15" spans="1:1" x14ac:dyDescent="0.25">
      <c r="A15" s="2" t="s">
        <v>18</v>
      </c>
    </row>
    <row r="16" spans="1:3" x14ac:dyDescent="0.25">
      <c r="A16" s="6" t="s">
        <v>19</v>
      </c>
      <c r="B16" s="6" t="s">
        <v>20</v>
      </c>
      <c r="C16" s="6" t="s">
        <v>21</v>
      </c>
    </row>
    <row r="17" spans="1:3" x14ac:dyDescent="0.25">
      <c r="A17" s="6" t="s">
        <v>22</v>
      </c>
      <c r="B17" s="6" t="s">
        <v>23</v>
      </c>
      <c r="C17" s="6" t="s">
        <v>24</v>
      </c>
    </row>
    <row r="18" spans="1:3" x14ac:dyDescent="0.25">
      <c r="A18" s="6" t="s">
        <v>25</v>
      </c>
      <c r="B18" s="6" t="s">
        <v>26</v>
      </c>
      <c r="C18" s="6" t="s">
        <v>27</v>
      </c>
    </row>
    <row r="19" spans="1:3" x14ac:dyDescent="0.25">
      <c r="A19" s="6" t="s">
        <v>28</v>
      </c>
      <c r="B19" s="6" t="s">
        <v>29</v>
      </c>
      <c r="C19" s="6" t="s">
        <v>30</v>
      </c>
    </row>
    <row r="20" spans="1:3" x14ac:dyDescent="0.25">
      <c r="A20" s="6" t="s">
        <v>31</v>
      </c>
      <c r="B20" s="6" t="s">
        <v>32</v>
      </c>
      <c r="C20" s="6" t="s">
        <v>33</v>
      </c>
    </row>
    <row r="22" spans="1:1" x14ac:dyDescent="0.25">
      <c r="A22" s="4" t="s">
        <v>34</v>
      </c>
    </row>
    <row r="23" ht="30" customHeight="1" spans="1:4" x14ac:dyDescent="0.25">
      <c r="A23" s="5" t="s">
        <v>10</v>
      </c>
      <c r="B23" s="5" t="s">
        <v>3</v>
      </c>
      <c r="C23" s="5" t="s">
        <v>5</v>
      </c>
      <c r="D23" s="5" t="s">
        <v>11</v>
      </c>
    </row>
    <row r="24" spans="1:4" x14ac:dyDescent="0.25">
      <c r="A24" s="6" t="s">
        <v>12</v>
      </c>
      <c r="B24" s="7">
        <f>'Wards (this term)'!D52</f>
        <v>15631</v>
      </c>
      <c r="C24" s="7">
        <f>'Wards (this term)'!E52</f>
        <v>15631</v>
      </c>
      <c r="D24" s="8">
        <f>C24-B24</f>
        <v>0</v>
      </c>
    </row>
    <row r="25" spans="1:4" x14ac:dyDescent="0.25">
      <c r="A25" s="6" t="s">
        <v>13</v>
      </c>
      <c r="B25" s="7">
        <f>'Wards (this term)'!G52</f>
        <v>2206</v>
      </c>
      <c r="C25" s="7">
        <f>'Wards (this term)'!H52</f>
        <v>2075</v>
      </c>
      <c r="D25" s="8">
        <f>C25-B25</f>
        <v>-131</v>
      </c>
    </row>
    <row r="26" spans="1:4" x14ac:dyDescent="0.25">
      <c r="A26" s="6" t="s">
        <v>14</v>
      </c>
      <c r="B26" s="7">
        <f>'Wards (this term)'!J52</f>
        <v>13425</v>
      </c>
      <c r="C26" s="7">
        <f>'Wards (this term)'!K52</f>
        <v>13556</v>
      </c>
      <c r="D26" s="8">
        <f>C26-B26</f>
        <v>131</v>
      </c>
    </row>
    <row r="27" spans="1:4" x14ac:dyDescent="0.25">
      <c r="A27" s="6" t="s">
        <v>15</v>
      </c>
      <c r="B27" s="9">
        <f>'Wards (this term)'!M52</f>
        <v>10.359116022099448</v>
      </c>
      <c r="C27" s="9">
        <f>'Wards (this term)'!N52</f>
        <v>10.460199388870027</v>
      </c>
      <c r="D27" s="10">
        <f>C27-B27</f>
        <v>0.10108336677057927</v>
      </c>
    </row>
    <row r="28" spans="1:4" x14ac:dyDescent="0.25">
      <c r="A28" s="6" t="s">
        <v>16</v>
      </c>
      <c r="B28" s="7">
        <f>'Wards (this term)'!P52</f>
        <v>3657</v>
      </c>
      <c r="C28" s="7">
        <f>'Wards (this term)'!Q52</f>
        <v>3652</v>
      </c>
      <c r="D28" s="8">
        <f>C28-B28</f>
        <v>-5</v>
      </c>
    </row>
    <row r="29" spans="1:4" x14ac:dyDescent="0.25">
      <c r="A29" s="6" t="s">
        <v>17</v>
      </c>
      <c r="B29" s="7">
        <f>'Wards (this term)'!U52</f>
        <v>782</v>
      </c>
      <c r="C29" s="7">
        <f>'Wards (this term)'!V52</f>
        <v>767</v>
      </c>
      <c r="D29" s="8">
        <f>C29-B29</f>
        <v>-15</v>
      </c>
    </row>
    <row r="30" spans="1:1" x14ac:dyDescent="0.25">
      <c r="A30" s="2" t="s">
        <v>35</v>
      </c>
    </row>
    <row r="31" spans="1:3" x14ac:dyDescent="0.25">
      <c r="A31" s="6" t="s">
        <v>19</v>
      </c>
      <c r="B31" s="6" t="s">
        <v>36</v>
      </c>
      <c r="C31" s="6" t="s">
        <v>37</v>
      </c>
    </row>
    <row r="32" spans="1:3" x14ac:dyDescent="0.25">
      <c r="A32" s="6" t="s">
        <v>38</v>
      </c>
      <c r="B32" s="6" t="s">
        <v>39</v>
      </c>
      <c r="C32" s="6" t="s">
        <v>40</v>
      </c>
    </row>
    <row r="33" spans="1:3" x14ac:dyDescent="0.25">
      <c r="A33" s="6" t="s">
        <v>41</v>
      </c>
      <c r="B33" s="6" t="s">
        <v>42</v>
      </c>
      <c r="C33" s="6" t="s">
        <v>43</v>
      </c>
    </row>
    <row r="34" spans="1:3" x14ac:dyDescent="0.25">
      <c r="A34" s="6" t="s">
        <v>44</v>
      </c>
      <c r="B34" s="6" t="s">
        <v>45</v>
      </c>
      <c r="C34" s="6" t="s">
        <v>46</v>
      </c>
    </row>
    <row r="35" spans="1:3" x14ac:dyDescent="0.25">
      <c r="A35" s="6" t="s">
        <v>47</v>
      </c>
      <c r="B35" s="6" t="s">
        <v>48</v>
      </c>
      <c r="C35" s="6" t="s">
        <v>49</v>
      </c>
    </row>
    <row r="37" ht="30" customHeight="1" spans="1:2" x14ac:dyDescent="0.25">
      <c r="A37" s="5" t="s">
        <v>50</v>
      </c>
      <c r="B37" s="5" t="s">
        <v>51</v>
      </c>
    </row>
    <row r="38" spans="1:2" x14ac:dyDescent="0.25">
      <c r="A38" s="6" t="s">
        <v>52</v>
      </c>
      <c r="B38" s="7">
        <f>COUNTIF(Projects!A:A,"changed")</f>
        <v>31</v>
      </c>
    </row>
    <row r="39" spans="1:2" x14ac:dyDescent="0.25">
      <c r="A39" s="6" t="s">
        <v>53</v>
      </c>
      <c r="B39" s="7">
        <f>COUNTIF(Projects!A:A,"regrouped")</f>
        <v>3</v>
      </c>
    </row>
    <row r="40" spans="1:2" x14ac:dyDescent="0.25">
      <c r="A40" s="6" t="s">
        <v>54</v>
      </c>
      <c r="B40" s="7">
        <f>COUNTIF(Projects!A:A,"removed")</f>
        <v>48</v>
      </c>
    </row>
    <row r="41" spans="1:2" x14ac:dyDescent="0.25">
      <c r="A41" s="6" t="s">
        <v>55</v>
      </c>
      <c r="B41" s="7">
        <f>COUNTIF(Projects!A:A,"added")</f>
        <v>1</v>
      </c>
    </row>
    <row r="43" spans="1:1" x14ac:dyDescent="0.25">
      <c r="A43" s="2" t="s">
        <v>56</v>
      </c>
    </row>
    <row r="44" ht="56" customHeight="1" spans="1:4" x14ac:dyDescent="0.25">
      <c r="A44" s="11" t="s">
        <v>57</v>
      </c>
      <c r="B44" s="11"/>
      <c r="C44" s="11"/>
      <c r="D44" s="11"/>
    </row>
    <row r="45" ht="42" customHeight="1" spans="1:4" x14ac:dyDescent="0.25">
      <c r="A45" s="11" t="s">
        <v>58</v>
      </c>
      <c r="B45" s="11"/>
      <c r="C45" s="11"/>
      <c r="D45" s="11"/>
    </row>
    <row r="46" ht="42" customHeight="1" spans="1:4" x14ac:dyDescent="0.25">
      <c r="A46" s="11" t="s">
        <v>59</v>
      </c>
      <c r="B46" s="11"/>
      <c r="C46" s="11"/>
      <c r="D46" s="11"/>
    </row>
    <row r="47" ht="28" customHeight="1" spans="1:4" x14ac:dyDescent="0.25">
      <c r="A47" s="11" t="s">
        <v>60</v>
      </c>
      <c r="B47" s="11"/>
      <c r="C47" s="11"/>
      <c r="D47" s="11"/>
    </row>
  </sheetData>
  <mergeCells count="4">
    <mergeCell ref="A44:D44"/>
    <mergeCell ref="A45:D45"/>
    <mergeCell ref="A46:D46"/>
    <mergeCell ref="A47:D47"/>
  </mergeCells>
  <conditionalFormatting sqref="D9:D9">
    <cfRule type="cellIs" dxfId="0" priority="1" operator="greaterThan">
      <formula>0</formula>
    </cfRule>
    <cfRule type="cellIs" dxfId="1" priority="2" operator="lessThan">
      <formula>0</formula>
    </cfRule>
  </conditionalFormatting>
  <conditionalFormatting sqref="D10:D10">
    <cfRule type="cellIs" dxfId="2" priority="1" operator="greaterThan">
      <formula>0</formula>
    </cfRule>
    <cfRule type="cellIs" dxfId="3" priority="2" operator="lessThan">
      <formula>0</formula>
    </cfRule>
  </conditionalFormatting>
  <conditionalFormatting sqref="D11:D11">
    <cfRule type="cellIs" dxfId="4" priority="1" operator="greaterThan">
      <formula>0</formula>
    </cfRule>
    <cfRule type="cellIs" dxfId="5" priority="2" operator="lessThan">
      <formula>0</formula>
    </cfRule>
  </conditionalFormatting>
  <conditionalFormatting sqref="D12:D12">
    <cfRule type="cellIs" dxfId="6" priority="1" operator="greaterThan">
      <formula>0</formula>
    </cfRule>
    <cfRule type="cellIs" dxfId="7" priority="2" operator="lessThan">
      <formula>0</formula>
    </cfRule>
  </conditionalFormatting>
  <conditionalFormatting sqref="D13:D13">
    <cfRule type="cellIs" dxfId="8" priority="1" operator="greaterThan">
      <formula>0</formula>
    </cfRule>
    <cfRule type="cellIs" dxfId="9" priority="2" operator="lessThan">
      <formula>0</formula>
    </cfRule>
  </conditionalFormatting>
  <conditionalFormatting sqref="D14:D14">
    <cfRule type="cellIs" dxfId="10" priority="1" operator="greaterThan">
      <formula>0</formula>
    </cfRule>
    <cfRule type="cellIs" dxfId="11" priority="2" operator="lessThan">
      <formula>0</formula>
    </cfRule>
  </conditionalFormatting>
  <conditionalFormatting sqref="D24:D24">
    <cfRule type="cellIs" dxfId="12" priority="1" operator="greaterThan">
      <formula>0</formula>
    </cfRule>
    <cfRule type="cellIs" dxfId="13" priority="2" operator="lessThan">
      <formula>0</formula>
    </cfRule>
  </conditionalFormatting>
  <conditionalFormatting sqref="D25:D25">
    <cfRule type="cellIs" dxfId="14" priority="1" operator="greaterThan">
      <formula>0</formula>
    </cfRule>
    <cfRule type="cellIs" dxfId="15" priority="2" operator="lessThan">
      <formula>0</formula>
    </cfRule>
  </conditionalFormatting>
  <conditionalFormatting sqref="D26:D26">
    <cfRule type="cellIs" dxfId="16" priority="1" operator="greaterThan">
      <formula>0</formula>
    </cfRule>
    <cfRule type="cellIs" dxfId="17" priority="2" operator="lessThan">
      <formula>0</formula>
    </cfRule>
  </conditionalFormatting>
  <conditionalFormatting sqref="D27:D27">
    <cfRule type="cellIs" dxfId="18" priority="1" operator="greaterThan">
      <formula>0</formula>
    </cfRule>
    <cfRule type="cellIs" dxfId="19" priority="2" operator="lessThan">
      <formula>0</formula>
    </cfRule>
  </conditionalFormatting>
  <conditionalFormatting sqref="D28:D28">
    <cfRule type="cellIs" dxfId="20" priority="1" operator="greaterThan">
      <formula>0</formula>
    </cfRule>
    <cfRule type="cellIs" dxfId="21" priority="2" operator="lessThan">
      <formula>0</formula>
    </cfRule>
  </conditionalFormatting>
  <conditionalFormatting sqref="D29:D29">
    <cfRule type="cellIs" dxfId="22" priority="1" operator="greaterThan">
      <formula>0</formula>
    </cfRule>
    <cfRule type="cellIs" dxfId="2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2"/>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4" customWidth="1"/>
    <col min="3" max="22" width="12" customWidth="1"/>
  </cols>
  <sheetData>
    <row r="1" ht="30" customHeight="1" spans="1:22" x14ac:dyDescent="0.25">
      <c r="A1" s="5" t="s">
        <v>61</v>
      </c>
      <c r="B1" s="5" t="s">
        <v>62</v>
      </c>
      <c r="C1" s="5" t="s">
        <v>63</v>
      </c>
      <c r="D1" s="5" t="s">
        <v>64</v>
      </c>
      <c r="E1" s="5" t="s">
        <v>65</v>
      </c>
      <c r="F1" s="5" t="s">
        <v>66</v>
      </c>
      <c r="G1" s="5" t="s">
        <v>67</v>
      </c>
      <c r="H1" s="5" t="s">
        <v>68</v>
      </c>
      <c r="I1" s="5" t="s">
        <v>69</v>
      </c>
      <c r="J1" s="5" t="s">
        <v>70</v>
      </c>
      <c r="K1" s="5" t="s">
        <v>71</v>
      </c>
      <c r="L1" s="5" t="s">
        <v>72</v>
      </c>
      <c r="M1" s="5" t="s">
        <v>73</v>
      </c>
      <c r="N1" s="5" t="s">
        <v>74</v>
      </c>
      <c r="O1" s="5" t="s">
        <v>75</v>
      </c>
      <c r="P1" s="5" t="s">
        <v>76</v>
      </c>
      <c r="Q1" s="5" t="s">
        <v>77</v>
      </c>
      <c r="R1" s="5" t="s">
        <v>78</v>
      </c>
      <c r="S1" s="5" t="s">
        <v>79</v>
      </c>
      <c r="T1" s="5" t="s">
        <v>80</v>
      </c>
      <c r="U1" s="5" t="s">
        <v>81</v>
      </c>
      <c r="V1" s="5" t="s">
        <v>82</v>
      </c>
    </row>
    <row r="2" spans="1:22" x14ac:dyDescent="0.25">
      <c r="A2" s="6">
        <v>27</v>
      </c>
      <c r="B2" s="6" t="s">
        <v>83</v>
      </c>
      <c r="C2" s="7">
        <v>33867</v>
      </c>
      <c r="D2" s="7">
        <v>725</v>
      </c>
      <c r="E2" s="7">
        <v>725</v>
      </c>
      <c r="F2" s="8">
        <f>E2-D2</f>
        <v>0</v>
      </c>
      <c r="G2" s="7">
        <v>25</v>
      </c>
      <c r="H2" s="7">
        <v>25</v>
      </c>
      <c r="I2" s="8">
        <f>H2-G2</f>
        <v>0</v>
      </c>
      <c r="J2" s="7">
        <v>700</v>
      </c>
      <c r="K2" s="7">
        <v>700</v>
      </c>
      <c r="L2" s="8">
        <f>K2-J2</f>
        <v>0</v>
      </c>
      <c r="M2" s="9">
        <f>IF(C2&gt;0,J2/C2*1000,"")</f>
        <v>20.669087902678122</v>
      </c>
      <c r="N2" s="9">
        <f>IF(C2&gt;0,K2/C2*1000,"")</f>
        <v>20.669087902678122</v>
      </c>
      <c r="O2" s="10">
        <f>IF(OR(M2="",N2=""),"",N2-M2)</f>
        <v>0</v>
      </c>
      <c r="P2" s="7">
        <v>68</v>
      </c>
      <c r="Q2" s="7">
        <v>68</v>
      </c>
      <c r="R2" s="7">
        <v>1</v>
      </c>
      <c r="S2" s="7">
        <v>1</v>
      </c>
      <c r="T2" s="8">
        <f>R2-S2</f>
        <v>0</v>
      </c>
      <c r="U2" s="7">
        <v>7</v>
      </c>
      <c r="V2" s="7">
        <v>7</v>
      </c>
    </row>
    <row r="3" spans="1:22" x14ac:dyDescent="0.25">
      <c r="A3" s="6">
        <v>34</v>
      </c>
      <c r="B3" s="6" t="s">
        <v>84</v>
      </c>
      <c r="C3" s="7">
        <v>42742</v>
      </c>
      <c r="D3" s="7">
        <v>682</v>
      </c>
      <c r="E3" s="7">
        <v>682</v>
      </c>
      <c r="F3" s="8">
        <f>E3-D3</f>
        <v>0</v>
      </c>
      <c r="G3" s="7">
        <v>1</v>
      </c>
      <c r="H3" s="7">
        <v>1</v>
      </c>
      <c r="I3" s="8">
        <f>H3-G3</f>
        <v>0</v>
      </c>
      <c r="J3" s="7">
        <v>681</v>
      </c>
      <c r="K3" s="7">
        <v>681</v>
      </c>
      <c r="L3" s="8">
        <f>K3-J3</f>
        <v>0</v>
      </c>
      <c r="M3" s="9">
        <f>IF(C3&gt;0,J3/C3*1000,"")</f>
        <v>15.932806139160546</v>
      </c>
      <c r="N3" s="9">
        <f>IF(C3&gt;0,K3/C3*1000,"")</f>
        <v>15.932806139160546</v>
      </c>
      <c r="O3" s="10">
        <f>IF(OR(M3="",N3=""),"",N3-M3)</f>
        <v>0</v>
      </c>
      <c r="P3" s="7">
        <v>6</v>
      </c>
      <c r="Q3" s="7">
        <v>6</v>
      </c>
      <c r="R3" s="7">
        <v>2</v>
      </c>
      <c r="S3" s="7">
        <v>2</v>
      </c>
      <c r="T3" s="8">
        <f>R3-S3</f>
        <v>0</v>
      </c>
      <c r="U3" s="7">
        <v>0</v>
      </c>
      <c r="V3" s="7">
        <v>0</v>
      </c>
    </row>
    <row r="4" spans="1:22" x14ac:dyDescent="0.25">
      <c r="A4" s="6">
        <v>1</v>
      </c>
      <c r="B4" s="6" t="s">
        <v>85</v>
      </c>
      <c r="C4" s="7">
        <v>31159</v>
      </c>
      <c r="D4" s="7">
        <v>459</v>
      </c>
      <c r="E4" s="7">
        <v>459</v>
      </c>
      <c r="F4" s="8">
        <f>E4-D4</f>
        <v>0</v>
      </c>
      <c r="G4" s="7">
        <v>34</v>
      </c>
      <c r="H4" s="7">
        <v>34</v>
      </c>
      <c r="I4" s="8">
        <f>H4-G4</f>
        <v>0</v>
      </c>
      <c r="J4" s="7">
        <v>425</v>
      </c>
      <c r="K4" s="7">
        <v>425</v>
      </c>
      <c r="L4" s="8">
        <f>K4-J4</f>
        <v>0</v>
      </c>
      <c r="M4" s="9">
        <f>IF(C4&gt;0,J4/C4*1000,"")</f>
        <v>13.639718861324175</v>
      </c>
      <c r="N4" s="9">
        <f>IF(C4&gt;0,K4/C4*1000,"")</f>
        <v>13.639718861324175</v>
      </c>
      <c r="O4" s="10">
        <f>IF(OR(M4="",N4=""),"",N4-M4)</f>
        <v>0</v>
      </c>
      <c r="P4" s="7">
        <v>67</v>
      </c>
      <c r="Q4" s="7">
        <v>67</v>
      </c>
      <c r="R4" s="7">
        <v>3</v>
      </c>
      <c r="S4" s="7">
        <v>3</v>
      </c>
      <c r="T4" s="8">
        <f>R4-S4</f>
        <v>0</v>
      </c>
      <c r="U4" s="7">
        <v>0</v>
      </c>
      <c r="V4" s="7">
        <v>0</v>
      </c>
    </row>
    <row r="5" spans="1:22" x14ac:dyDescent="0.25">
      <c r="A5" s="6">
        <v>28</v>
      </c>
      <c r="B5" s="6" t="s">
        <v>86</v>
      </c>
      <c r="C5" s="7">
        <v>23699</v>
      </c>
      <c r="D5" s="7">
        <v>311</v>
      </c>
      <c r="E5" s="7">
        <v>311</v>
      </c>
      <c r="F5" s="8">
        <f>E5-D5</f>
        <v>0</v>
      </c>
      <c r="G5" s="7">
        <v>2</v>
      </c>
      <c r="H5" s="7">
        <v>2</v>
      </c>
      <c r="I5" s="8">
        <f>H5-G5</f>
        <v>0</v>
      </c>
      <c r="J5" s="7">
        <v>309</v>
      </c>
      <c r="K5" s="7">
        <v>309</v>
      </c>
      <c r="L5" s="8">
        <f>K5-J5</f>
        <v>0</v>
      </c>
      <c r="M5" s="9">
        <f>IF(C5&gt;0,J5/C5*1000,"")</f>
        <v>13.038524832271404</v>
      </c>
      <c r="N5" s="9">
        <f>IF(C5&gt;0,K5/C5*1000,"")</f>
        <v>13.038524832271404</v>
      </c>
      <c r="O5" s="10">
        <f>IF(OR(M5="",N5=""),"",N5-M5)</f>
        <v>0</v>
      </c>
      <c r="P5" s="7">
        <v>59</v>
      </c>
      <c r="Q5" s="7">
        <v>59</v>
      </c>
      <c r="R5" s="7">
        <v>4</v>
      </c>
      <c r="S5" s="7">
        <v>4</v>
      </c>
      <c r="T5" s="8">
        <f>R5-S5</f>
        <v>0</v>
      </c>
      <c r="U5" s="7">
        <v>13</v>
      </c>
      <c r="V5" s="7">
        <v>13</v>
      </c>
    </row>
    <row r="6" spans="1:22" x14ac:dyDescent="0.25">
      <c r="A6" s="6">
        <v>32</v>
      </c>
      <c r="B6" s="6" t="s">
        <v>87</v>
      </c>
      <c r="C6" s="7">
        <v>27933</v>
      </c>
      <c r="D6" s="7">
        <v>339</v>
      </c>
      <c r="E6" s="7">
        <v>339</v>
      </c>
      <c r="F6" s="8">
        <f>E6-D6</f>
        <v>0</v>
      </c>
      <c r="G6" s="7">
        <v>98</v>
      </c>
      <c r="H6" s="7">
        <v>98</v>
      </c>
      <c r="I6" s="8">
        <f>H6-G6</f>
        <v>0</v>
      </c>
      <c r="J6" s="7">
        <v>241</v>
      </c>
      <c r="K6" s="7">
        <v>241</v>
      </c>
      <c r="L6" s="8">
        <f>K6-J6</f>
        <v>0</v>
      </c>
      <c r="M6" s="9">
        <f>IF(C6&gt;0,J6/C6*1000,"")</f>
        <v>8.62778792109691</v>
      </c>
      <c r="N6" s="9">
        <f>IF(C6&gt;0,K6/C6*1000,"")</f>
        <v>8.62778792109691</v>
      </c>
      <c r="O6" s="10">
        <f>IF(OR(M6="",N6=""),"",N6-M6)</f>
        <v>0</v>
      </c>
      <c r="P6" s="7">
        <v>86</v>
      </c>
      <c r="Q6" s="7">
        <v>86</v>
      </c>
      <c r="R6" s="7">
        <v>5</v>
      </c>
      <c r="S6" s="7">
        <v>5</v>
      </c>
      <c r="T6" s="8">
        <f>R6-S6</f>
        <v>0</v>
      </c>
      <c r="U6" s="7">
        <v>0</v>
      </c>
      <c r="V6" s="7">
        <v>0</v>
      </c>
    </row>
    <row r="7" spans="1:22" x14ac:dyDescent="0.25">
      <c r="A7" s="6">
        <v>24</v>
      </c>
      <c r="B7" s="6" t="s">
        <v>88</v>
      </c>
      <c r="C7" s="7">
        <v>18790</v>
      </c>
      <c r="D7" s="7">
        <v>153</v>
      </c>
      <c r="E7" s="7">
        <v>153</v>
      </c>
      <c r="F7" s="8">
        <f>E7-D7</f>
        <v>0</v>
      </c>
      <c r="G7" s="7">
        <v>6</v>
      </c>
      <c r="H7" s="7">
        <v>6</v>
      </c>
      <c r="I7" s="8">
        <f>H7-G7</f>
        <v>0</v>
      </c>
      <c r="J7" s="7">
        <v>147</v>
      </c>
      <c r="K7" s="7">
        <v>147</v>
      </c>
      <c r="L7" s="8">
        <f>K7-J7</f>
        <v>0</v>
      </c>
      <c r="M7" s="9">
        <f>IF(C7&gt;0,J7/C7*1000,"")</f>
        <v>7.823310271420969</v>
      </c>
      <c r="N7" s="9">
        <f>IF(C7&gt;0,K7/C7*1000,"")</f>
        <v>7.823310271420969</v>
      </c>
      <c r="O7" s="10">
        <f>IF(OR(M7="",N7=""),"",N7-M7)</f>
        <v>0</v>
      </c>
      <c r="P7" s="7">
        <v>60</v>
      </c>
      <c r="Q7" s="7">
        <v>60</v>
      </c>
      <c r="R7" s="7">
        <v>6</v>
      </c>
      <c r="S7" s="7">
        <v>6</v>
      </c>
      <c r="T7" s="8">
        <f>R7-S7</f>
        <v>0</v>
      </c>
      <c r="U7" s="7">
        <v>15</v>
      </c>
      <c r="V7" s="7">
        <v>15</v>
      </c>
    </row>
    <row r="8" spans="1:22" x14ac:dyDescent="0.25">
      <c r="A8" s="6">
        <v>3</v>
      </c>
      <c r="B8" s="6" t="s">
        <v>89</v>
      </c>
      <c r="C8" s="7">
        <v>33194</v>
      </c>
      <c r="D8" s="7">
        <v>253</v>
      </c>
      <c r="E8" s="7">
        <v>253</v>
      </c>
      <c r="F8" s="8">
        <f>E8-D8</f>
        <v>0</v>
      </c>
      <c r="G8" s="7">
        <v>0</v>
      </c>
      <c r="H8" s="7">
        <v>0</v>
      </c>
      <c r="I8" s="8">
        <f>H8-G8</f>
        <v>0</v>
      </c>
      <c r="J8" s="7">
        <v>253</v>
      </c>
      <c r="K8" s="7">
        <v>253</v>
      </c>
      <c r="L8" s="8">
        <f>K8-J8</f>
        <v>0</v>
      </c>
      <c r="M8" s="9">
        <f>IF(C8&gt;0,J8/C8*1000,"")</f>
        <v>7.621859372175694</v>
      </c>
      <c r="N8" s="9">
        <f>IF(C8&gt;0,K8/C8*1000,"")</f>
        <v>7.621859372175694</v>
      </c>
      <c r="O8" s="10">
        <f>IF(OR(M8="",N8=""),"",N8-M8)</f>
        <v>0</v>
      </c>
      <c r="P8" s="7">
        <v>38</v>
      </c>
      <c r="Q8" s="7">
        <v>38</v>
      </c>
      <c r="R8" s="7">
        <v>7</v>
      </c>
      <c r="S8" s="7">
        <v>7</v>
      </c>
      <c r="T8" s="8">
        <f>R8-S8</f>
        <v>0</v>
      </c>
      <c r="U8" s="7">
        <v>2</v>
      </c>
      <c r="V8" s="7">
        <v>2</v>
      </c>
    </row>
    <row r="9" spans="1:22" x14ac:dyDescent="0.25">
      <c r="A9" s="6">
        <v>26</v>
      </c>
      <c r="B9" s="6" t="s">
        <v>90</v>
      </c>
      <c r="C9" s="7">
        <v>20670</v>
      </c>
      <c r="D9" s="7">
        <v>158</v>
      </c>
      <c r="E9" s="7">
        <v>158</v>
      </c>
      <c r="F9" s="8">
        <f>E9-D9</f>
        <v>0</v>
      </c>
      <c r="G9" s="7">
        <v>13</v>
      </c>
      <c r="H9" s="7">
        <v>13</v>
      </c>
      <c r="I9" s="8">
        <f>H9-G9</f>
        <v>0</v>
      </c>
      <c r="J9" s="7">
        <v>145</v>
      </c>
      <c r="K9" s="7">
        <v>145</v>
      </c>
      <c r="L9" s="8">
        <f>K9-J9</f>
        <v>0</v>
      </c>
      <c r="M9" s="9">
        <f>IF(C9&gt;0,J9/C9*1000,"")</f>
        <v>7.014997581035317</v>
      </c>
      <c r="N9" s="9">
        <f>IF(C9&gt;0,K9/C9*1000,"")</f>
        <v>7.014997581035317</v>
      </c>
      <c r="O9" s="10">
        <f>IF(OR(M9="",N9=""),"",N9-M9)</f>
        <v>0</v>
      </c>
      <c r="P9" s="7">
        <v>32</v>
      </c>
      <c r="Q9" s="7">
        <v>32</v>
      </c>
      <c r="R9" s="7">
        <v>8</v>
      </c>
      <c r="S9" s="7">
        <v>8</v>
      </c>
      <c r="T9" s="8">
        <f>R9-S9</f>
        <v>0</v>
      </c>
      <c r="U9" s="7">
        <v>0</v>
      </c>
      <c r="V9" s="7">
        <v>0</v>
      </c>
    </row>
    <row r="10" spans="1:22" x14ac:dyDescent="0.25">
      <c r="A10" s="6">
        <v>25</v>
      </c>
      <c r="B10" s="6" t="s">
        <v>91</v>
      </c>
      <c r="C10" s="7">
        <v>19836</v>
      </c>
      <c r="D10" s="7">
        <v>123</v>
      </c>
      <c r="E10" s="7">
        <v>123</v>
      </c>
      <c r="F10" s="8">
        <f>E10-D10</f>
        <v>0</v>
      </c>
      <c r="G10" s="7">
        <v>9</v>
      </c>
      <c r="H10" s="7">
        <v>9</v>
      </c>
      <c r="I10" s="8">
        <f>H10-G10</f>
        <v>0</v>
      </c>
      <c r="J10" s="7">
        <v>114</v>
      </c>
      <c r="K10" s="7">
        <v>114</v>
      </c>
      <c r="L10" s="8">
        <f>K10-J10</f>
        <v>0</v>
      </c>
      <c r="M10" s="9">
        <f>IF(C10&gt;0,J10/C10*1000,"")</f>
        <v>5.747126436781609</v>
      </c>
      <c r="N10" s="9">
        <f>IF(C10&gt;0,K10/C10*1000,"")</f>
        <v>5.747126436781609</v>
      </c>
      <c r="O10" s="10">
        <f>IF(OR(M10="",N10=""),"",N10-M10)</f>
        <v>0</v>
      </c>
      <c r="P10" s="7">
        <v>41</v>
      </c>
      <c r="Q10" s="7">
        <v>41</v>
      </c>
      <c r="R10" s="7">
        <v>9</v>
      </c>
      <c r="S10" s="7">
        <v>9</v>
      </c>
      <c r="T10" s="8">
        <f>R10-S10</f>
        <v>0</v>
      </c>
      <c r="U10" s="7">
        <v>0</v>
      </c>
      <c r="V10" s="7">
        <v>0</v>
      </c>
    </row>
    <row r="11" spans="1:22" x14ac:dyDescent="0.25">
      <c r="A11" s="6">
        <v>22</v>
      </c>
      <c r="B11" s="6" t="s">
        <v>92</v>
      </c>
      <c r="C11" s="7">
        <v>14305</v>
      </c>
      <c r="D11" s="7">
        <v>83</v>
      </c>
      <c r="E11" s="7">
        <v>83</v>
      </c>
      <c r="F11" s="8">
        <f>E11-D11</f>
        <v>0</v>
      </c>
      <c r="G11" s="7">
        <v>2</v>
      </c>
      <c r="H11" s="7">
        <v>2</v>
      </c>
      <c r="I11" s="8">
        <f>H11-G11</f>
        <v>0</v>
      </c>
      <c r="J11" s="7">
        <v>81</v>
      </c>
      <c r="K11" s="7">
        <v>81</v>
      </c>
      <c r="L11" s="8">
        <f>K11-J11</f>
        <v>0</v>
      </c>
      <c r="M11" s="9">
        <f>IF(C11&gt;0,J11/C11*1000,"")</f>
        <v>5.662355819643482</v>
      </c>
      <c r="N11" s="9">
        <f>IF(C11&gt;0,K11/C11*1000,"")</f>
        <v>5.662355819643482</v>
      </c>
      <c r="O11" s="10">
        <f>IF(OR(M11="",N11=""),"",N11-M11)</f>
        <v>0</v>
      </c>
      <c r="P11" s="7">
        <v>9</v>
      </c>
      <c r="Q11" s="7">
        <v>9</v>
      </c>
      <c r="R11" s="7">
        <v>10</v>
      </c>
      <c r="S11" s="7">
        <v>10</v>
      </c>
      <c r="T11" s="8">
        <f>R11-S11</f>
        <v>0</v>
      </c>
      <c r="U11" s="7">
        <v>0</v>
      </c>
      <c r="V11" s="7">
        <v>0</v>
      </c>
    </row>
    <row r="12" spans="1:22" x14ac:dyDescent="0.25">
      <c r="A12" s="6">
        <v>46</v>
      </c>
      <c r="B12" s="6" t="s">
        <v>93</v>
      </c>
      <c r="C12" s="7">
        <v>36269</v>
      </c>
      <c r="D12" s="7">
        <v>192</v>
      </c>
      <c r="E12" s="7">
        <v>192</v>
      </c>
      <c r="F12" s="8">
        <f>E12-D12</f>
        <v>0</v>
      </c>
      <c r="G12" s="7">
        <v>9</v>
      </c>
      <c r="H12" s="7">
        <v>9</v>
      </c>
      <c r="I12" s="8">
        <f>H12-G12</f>
        <v>0</v>
      </c>
      <c r="J12" s="7">
        <v>183</v>
      </c>
      <c r="K12" s="7">
        <v>183</v>
      </c>
      <c r="L12" s="8">
        <f>K12-J12</f>
        <v>0</v>
      </c>
      <c r="M12" s="9">
        <f>IF(C12&gt;0,J12/C12*1000,"")</f>
        <v>5.045631255342028</v>
      </c>
      <c r="N12" s="9">
        <f>IF(C12&gt;0,K12/C12*1000,"")</f>
        <v>5.045631255342028</v>
      </c>
      <c r="O12" s="10">
        <f>IF(OR(M12="",N12=""),"",N12-M12)</f>
        <v>0</v>
      </c>
      <c r="P12" s="7">
        <v>14</v>
      </c>
      <c r="Q12" s="7">
        <v>14</v>
      </c>
      <c r="R12" s="7">
        <v>11</v>
      </c>
      <c r="S12" s="7">
        <v>11</v>
      </c>
      <c r="T12" s="8">
        <f>R12-S12</f>
        <v>0</v>
      </c>
      <c r="U12" s="7">
        <v>0</v>
      </c>
      <c r="V12" s="7">
        <v>0</v>
      </c>
    </row>
    <row r="13" spans="1:22" x14ac:dyDescent="0.25">
      <c r="A13" s="6">
        <v>48</v>
      </c>
      <c r="B13" s="6" t="s">
        <v>94</v>
      </c>
      <c r="C13" s="7">
        <v>33333</v>
      </c>
      <c r="D13" s="7">
        <v>156</v>
      </c>
      <c r="E13" s="7">
        <v>156</v>
      </c>
      <c r="F13" s="8">
        <f>E13-D13</f>
        <v>0</v>
      </c>
      <c r="G13" s="7">
        <v>2</v>
      </c>
      <c r="H13" s="7">
        <v>2</v>
      </c>
      <c r="I13" s="8">
        <f>H13-G13</f>
        <v>0</v>
      </c>
      <c r="J13" s="7">
        <v>154</v>
      </c>
      <c r="K13" s="7">
        <v>154</v>
      </c>
      <c r="L13" s="8">
        <f>K13-J13</f>
        <v>0</v>
      </c>
      <c r="M13" s="9">
        <f>IF(C13&gt;0,J13/C13*1000,"")</f>
        <v>4.620046200462005</v>
      </c>
      <c r="N13" s="9">
        <f>IF(C13&gt;0,K13/C13*1000,"")</f>
        <v>4.620046200462005</v>
      </c>
      <c r="O13" s="10">
        <f>IF(OR(M13="",N13=""),"",N13-M13)</f>
        <v>0</v>
      </c>
      <c r="P13" s="7">
        <v>12</v>
      </c>
      <c r="Q13" s="7">
        <v>12</v>
      </c>
      <c r="R13" s="7">
        <v>12</v>
      </c>
      <c r="S13" s="7">
        <v>12</v>
      </c>
      <c r="T13" s="8">
        <f>R13-S13</f>
        <v>0</v>
      </c>
      <c r="U13" s="7">
        <v>0</v>
      </c>
      <c r="V13" s="7">
        <v>0</v>
      </c>
    </row>
    <row r="14" spans="1:22" x14ac:dyDescent="0.25">
      <c r="A14" s="6">
        <v>20</v>
      </c>
      <c r="B14" s="6" t="s">
        <v>95</v>
      </c>
      <c r="C14" s="7">
        <v>23006</v>
      </c>
      <c r="D14" s="7">
        <v>95</v>
      </c>
      <c r="E14" s="7">
        <v>95</v>
      </c>
      <c r="F14" s="8">
        <f>E14-D14</f>
        <v>0</v>
      </c>
      <c r="G14" s="7">
        <v>6</v>
      </c>
      <c r="H14" s="7">
        <v>6</v>
      </c>
      <c r="I14" s="8">
        <f>H14-G14</f>
        <v>0</v>
      </c>
      <c r="J14" s="7">
        <v>89</v>
      </c>
      <c r="K14" s="7">
        <v>89</v>
      </c>
      <c r="L14" s="8">
        <f>K14-J14</f>
        <v>0</v>
      </c>
      <c r="M14" s="9">
        <f>IF(C14&gt;0,J14/C14*1000,"")</f>
        <v>3.868556028862036</v>
      </c>
      <c r="N14" s="9">
        <f>IF(C14&gt;0,K14/C14*1000,"")</f>
        <v>3.868556028862036</v>
      </c>
      <c r="O14" s="10">
        <f>IF(OR(M14="",N14=""),"",N14-M14)</f>
        <v>0</v>
      </c>
      <c r="P14" s="7">
        <v>37</v>
      </c>
      <c r="Q14" s="7">
        <v>37</v>
      </c>
      <c r="R14" s="7">
        <v>13</v>
      </c>
      <c r="S14" s="7">
        <v>13</v>
      </c>
      <c r="T14" s="8">
        <f>R14-S14</f>
        <v>0</v>
      </c>
      <c r="U14" s="7">
        <v>13</v>
      </c>
      <c r="V14" s="7">
        <v>13</v>
      </c>
    </row>
    <row r="15" spans="1:22" x14ac:dyDescent="0.25">
      <c r="A15" s="6">
        <v>42</v>
      </c>
      <c r="B15" s="6" t="s">
        <v>96</v>
      </c>
      <c r="C15" s="7">
        <v>67733</v>
      </c>
      <c r="D15" s="7">
        <v>230</v>
      </c>
      <c r="E15" s="7">
        <v>230</v>
      </c>
      <c r="F15" s="8">
        <f>E15-D15</f>
        <v>0</v>
      </c>
      <c r="G15" s="7">
        <v>1</v>
      </c>
      <c r="H15" s="7">
        <v>1</v>
      </c>
      <c r="I15" s="8">
        <f>H15-G15</f>
        <v>0</v>
      </c>
      <c r="J15" s="7">
        <v>229</v>
      </c>
      <c r="K15" s="7">
        <v>229</v>
      </c>
      <c r="L15" s="8">
        <f>K15-J15</f>
        <v>0</v>
      </c>
      <c r="M15" s="9">
        <f>IF(C15&gt;0,J15/C15*1000,"")</f>
        <v>3.3809221502074323</v>
      </c>
      <c r="N15" s="9">
        <f>IF(C15&gt;0,K15/C15*1000,"")</f>
        <v>3.3809221502074323</v>
      </c>
      <c r="O15" s="10">
        <f>IF(OR(M15="",N15=""),"",N15-M15)</f>
        <v>0</v>
      </c>
      <c r="P15" s="7">
        <v>5</v>
      </c>
      <c r="Q15" s="7">
        <v>5</v>
      </c>
      <c r="R15" s="7">
        <v>14</v>
      </c>
      <c r="S15" s="7">
        <v>14</v>
      </c>
      <c r="T15" s="8">
        <f>R15-S15</f>
        <v>0</v>
      </c>
      <c r="U15" s="7">
        <v>0</v>
      </c>
      <c r="V15" s="7">
        <v>0</v>
      </c>
    </row>
    <row r="16" spans="1:22" x14ac:dyDescent="0.25">
      <c r="A16" s="6">
        <v>40</v>
      </c>
      <c r="B16" s="6" t="s">
        <v>97</v>
      </c>
      <c r="C16" s="7">
        <v>25591</v>
      </c>
      <c r="D16" s="7">
        <v>83</v>
      </c>
      <c r="E16" s="7">
        <v>83</v>
      </c>
      <c r="F16" s="8">
        <f>E16-D16</f>
        <v>0</v>
      </c>
      <c r="G16" s="7">
        <v>24</v>
      </c>
      <c r="H16" s="7">
        <v>24</v>
      </c>
      <c r="I16" s="8">
        <f>H16-G16</f>
        <v>0</v>
      </c>
      <c r="J16" s="7">
        <v>59</v>
      </c>
      <c r="K16" s="7">
        <v>59</v>
      </c>
      <c r="L16" s="8">
        <f>K16-J16</f>
        <v>0</v>
      </c>
      <c r="M16" s="9">
        <f>IF(C16&gt;0,J16/C16*1000,"")</f>
        <v>2.3054980266499943</v>
      </c>
      <c r="N16" s="9">
        <f>IF(C16&gt;0,K16/C16*1000,"")</f>
        <v>2.3054980266499943</v>
      </c>
      <c r="O16" s="10">
        <f>IF(OR(M16="",N16=""),"",N16-M16)</f>
        <v>0</v>
      </c>
      <c r="P16" s="7">
        <v>34</v>
      </c>
      <c r="Q16" s="7">
        <v>34</v>
      </c>
      <c r="R16" s="7">
        <v>15</v>
      </c>
      <c r="S16" s="7">
        <v>15</v>
      </c>
      <c r="T16" s="8">
        <f>R16-S16</f>
        <v>0</v>
      </c>
      <c r="U16" s="7">
        <v>0</v>
      </c>
      <c r="V16" s="7">
        <v>0</v>
      </c>
    </row>
    <row r="17" spans="1:22" x14ac:dyDescent="0.25">
      <c r="A17" s="6">
        <v>4</v>
      </c>
      <c r="B17" s="6" t="s">
        <v>98</v>
      </c>
      <c r="C17" s="7">
        <v>39515</v>
      </c>
      <c r="D17" s="7">
        <v>83</v>
      </c>
      <c r="E17" s="7">
        <v>83</v>
      </c>
      <c r="F17" s="8">
        <f>E17-D17</f>
        <v>0</v>
      </c>
      <c r="G17" s="7">
        <v>0</v>
      </c>
      <c r="H17" s="7">
        <v>0</v>
      </c>
      <c r="I17" s="8">
        <f>H17-G17</f>
        <v>0</v>
      </c>
      <c r="J17" s="7">
        <v>83</v>
      </c>
      <c r="K17" s="7">
        <v>83</v>
      </c>
      <c r="L17" s="8">
        <f>K17-J17</f>
        <v>0</v>
      </c>
      <c r="M17" s="9">
        <f>IF(C17&gt;0,J17/C17*1000,"")</f>
        <v>2.100468176641782</v>
      </c>
      <c r="N17" s="9">
        <f>IF(C17&gt;0,K17/C17*1000,"")</f>
        <v>2.100468176641782</v>
      </c>
      <c r="O17" s="10">
        <f>IF(OR(M17="",N17=""),"",N17-M17)</f>
        <v>0</v>
      </c>
      <c r="P17" s="7">
        <v>16</v>
      </c>
      <c r="Q17" s="7">
        <v>16</v>
      </c>
      <c r="R17" s="7">
        <v>16</v>
      </c>
      <c r="S17" s="7">
        <v>16</v>
      </c>
      <c r="T17" s="8">
        <f>R17-S17</f>
        <v>0</v>
      </c>
      <c r="U17" s="7">
        <v>0</v>
      </c>
      <c r="V17" s="7">
        <v>0</v>
      </c>
    </row>
    <row r="18" spans="1:22" x14ac:dyDescent="0.25">
      <c r="A18" s="6">
        <v>6</v>
      </c>
      <c r="B18" s="6" t="s">
        <v>99</v>
      </c>
      <c r="C18" s="7">
        <v>28363</v>
      </c>
      <c r="D18" s="7">
        <v>61</v>
      </c>
      <c r="E18" s="7">
        <v>61</v>
      </c>
      <c r="F18" s="8">
        <f>E18-D18</f>
        <v>0</v>
      </c>
      <c r="G18" s="7">
        <v>5</v>
      </c>
      <c r="H18" s="7">
        <v>5</v>
      </c>
      <c r="I18" s="8">
        <f>H18-G18</f>
        <v>0</v>
      </c>
      <c r="J18" s="7">
        <v>56</v>
      </c>
      <c r="K18" s="7">
        <v>56</v>
      </c>
      <c r="L18" s="8">
        <f>K18-J18</f>
        <v>0</v>
      </c>
      <c r="M18" s="9">
        <f>IF(C18&gt;0,J18/C18*1000,"")</f>
        <v>1.9744032718682791</v>
      </c>
      <c r="N18" s="9">
        <f>IF(C18&gt;0,K18/C18*1000,"")</f>
        <v>1.9744032718682791</v>
      </c>
      <c r="O18" s="10">
        <f>IF(OR(M18="",N18=""),"",N18-M18)</f>
        <v>0</v>
      </c>
      <c r="P18" s="7">
        <v>11</v>
      </c>
      <c r="Q18" s="7">
        <v>11</v>
      </c>
      <c r="R18" s="7">
        <v>17</v>
      </c>
      <c r="S18" s="7">
        <v>17</v>
      </c>
      <c r="T18" s="8">
        <f>R18-S18</f>
        <v>0</v>
      </c>
      <c r="U18" s="7">
        <v>15</v>
      </c>
      <c r="V18" s="7">
        <v>13</v>
      </c>
    </row>
    <row r="19" spans="1:22" x14ac:dyDescent="0.25">
      <c r="A19" s="6">
        <v>44</v>
      </c>
      <c r="B19" s="6" t="s">
        <v>100</v>
      </c>
      <c r="C19" s="7">
        <v>36248</v>
      </c>
      <c r="D19" s="7">
        <v>121</v>
      </c>
      <c r="E19" s="7">
        <v>121</v>
      </c>
      <c r="F19" s="8">
        <f>E19-D19</f>
        <v>0</v>
      </c>
      <c r="G19" s="7">
        <v>132</v>
      </c>
      <c r="H19" s="7">
        <v>53</v>
      </c>
      <c r="I19" s="8">
        <f>H19-G19</f>
        <v>-79</v>
      </c>
      <c r="J19" s="7">
        <v>-11</v>
      </c>
      <c r="K19" s="7">
        <v>68</v>
      </c>
      <c r="L19" s="8">
        <f>K19-J19</f>
        <v>79</v>
      </c>
      <c r="M19" s="9">
        <f>IF(C19&gt;0,J19/C19*1000,"")</f>
        <v>-0.3034650187596557</v>
      </c>
      <c r="N19" s="9">
        <f>IF(C19&gt;0,K19/C19*1000,"")</f>
        <v>1.8759655705142353</v>
      </c>
      <c r="O19" s="10">
        <f>IF(OR(M19="",N19=""),"",N19-M19)</f>
        <v>2.179430589273891</v>
      </c>
      <c r="P19" s="7">
        <v>37</v>
      </c>
      <c r="Q19" s="7">
        <v>36</v>
      </c>
      <c r="R19" s="7">
        <v>50</v>
      </c>
      <c r="S19" s="7">
        <v>18</v>
      </c>
      <c r="T19" s="8">
        <f>R19-S19</f>
        <v>32</v>
      </c>
      <c r="U19" s="7">
        <v>0</v>
      </c>
      <c r="V19" s="7">
        <v>0</v>
      </c>
    </row>
    <row r="20" spans="1:22" x14ac:dyDescent="0.25">
      <c r="A20" s="6">
        <v>12</v>
      </c>
      <c r="B20" s="6" t="s">
        <v>101</v>
      </c>
      <c r="C20" s="7">
        <v>15697</v>
      </c>
      <c r="D20" s="7">
        <v>32</v>
      </c>
      <c r="E20" s="7">
        <v>32</v>
      </c>
      <c r="F20" s="8">
        <f>E20-D20</f>
        <v>0</v>
      </c>
      <c r="G20" s="7">
        <v>5</v>
      </c>
      <c r="H20" s="7">
        <v>5</v>
      </c>
      <c r="I20" s="8">
        <f>H20-G20</f>
        <v>0</v>
      </c>
      <c r="J20" s="7">
        <v>27</v>
      </c>
      <c r="K20" s="7">
        <v>27</v>
      </c>
      <c r="L20" s="8">
        <f>K20-J20</f>
        <v>0</v>
      </c>
      <c r="M20" s="9">
        <f>IF(C20&gt;0,J20/C20*1000,"")</f>
        <v>1.7200738994712366</v>
      </c>
      <c r="N20" s="9">
        <f>IF(C20&gt;0,K20/C20*1000,"")</f>
        <v>1.7200738994712366</v>
      </c>
      <c r="O20" s="10">
        <f>IF(OR(M20="",N20=""),"",N20-M20)</f>
        <v>0</v>
      </c>
      <c r="P20" s="7">
        <v>12</v>
      </c>
      <c r="Q20" s="7">
        <v>12</v>
      </c>
      <c r="R20" s="7">
        <v>18</v>
      </c>
      <c r="S20" s="7">
        <v>19</v>
      </c>
      <c r="T20" s="8">
        <f>R20-S20</f>
        <v>-1</v>
      </c>
      <c r="U20" s="7">
        <v>0</v>
      </c>
      <c r="V20" s="7">
        <v>0</v>
      </c>
    </row>
    <row r="21" spans="1:22" x14ac:dyDescent="0.25">
      <c r="A21" s="6">
        <v>11</v>
      </c>
      <c r="B21" s="6" t="s">
        <v>102</v>
      </c>
      <c r="C21" s="7">
        <v>20473</v>
      </c>
      <c r="D21" s="7">
        <v>54</v>
      </c>
      <c r="E21" s="7">
        <v>54</v>
      </c>
      <c r="F21" s="8">
        <f>E21-D21</f>
        <v>0</v>
      </c>
      <c r="G21" s="7">
        <v>19</v>
      </c>
      <c r="H21" s="7">
        <v>19</v>
      </c>
      <c r="I21" s="8">
        <f>H21-G21</f>
        <v>0</v>
      </c>
      <c r="J21" s="7">
        <v>35</v>
      </c>
      <c r="K21" s="7">
        <v>35</v>
      </c>
      <c r="L21" s="8">
        <f>K21-J21</f>
        <v>0</v>
      </c>
      <c r="M21" s="9">
        <f>IF(C21&gt;0,J21/C21*1000,"")</f>
        <v>1.7095687002393396</v>
      </c>
      <c r="N21" s="9">
        <f>IF(C21&gt;0,K21/C21*1000,"")</f>
        <v>1.7095687002393396</v>
      </c>
      <c r="O21" s="10">
        <f>IF(OR(M21="",N21=""),"",N21-M21)</f>
        <v>0</v>
      </c>
      <c r="P21" s="7">
        <v>33</v>
      </c>
      <c r="Q21" s="7">
        <v>33</v>
      </c>
      <c r="R21" s="7">
        <v>19</v>
      </c>
      <c r="S21" s="7">
        <v>20</v>
      </c>
      <c r="T21" s="8">
        <f>R21-S21</f>
        <v>-1</v>
      </c>
      <c r="U21" s="7">
        <v>0</v>
      </c>
      <c r="V21" s="7">
        <v>0</v>
      </c>
    </row>
    <row r="22" spans="1:22" x14ac:dyDescent="0.25">
      <c r="A22" s="6">
        <v>14</v>
      </c>
      <c r="B22" s="6" t="s">
        <v>103</v>
      </c>
      <c r="C22" s="7">
        <v>13682</v>
      </c>
      <c r="D22" s="7">
        <v>23</v>
      </c>
      <c r="E22" s="7">
        <v>23</v>
      </c>
      <c r="F22" s="8">
        <f>E22-D22</f>
        <v>0</v>
      </c>
      <c r="G22" s="7">
        <v>2</v>
      </c>
      <c r="H22" s="7">
        <v>2</v>
      </c>
      <c r="I22" s="8">
        <f>H22-G22</f>
        <v>0</v>
      </c>
      <c r="J22" s="7">
        <v>21</v>
      </c>
      <c r="K22" s="7">
        <v>21</v>
      </c>
      <c r="L22" s="8">
        <f>K22-J22</f>
        <v>0</v>
      </c>
      <c r="M22" s="9">
        <f>IF(C22&gt;0,J22/C22*1000,"")</f>
        <v>1.5348633240754275</v>
      </c>
      <c r="N22" s="9">
        <f>IF(C22&gt;0,K22/C22*1000,"")</f>
        <v>1.5348633240754275</v>
      </c>
      <c r="O22" s="10">
        <f>IF(OR(M22="",N22=""),"",N22-M22)</f>
        <v>0</v>
      </c>
      <c r="P22" s="7">
        <v>8</v>
      </c>
      <c r="Q22" s="7">
        <v>8</v>
      </c>
      <c r="R22" s="7">
        <v>20</v>
      </c>
      <c r="S22" s="7">
        <v>21</v>
      </c>
      <c r="T22" s="8">
        <f>R22-S22</f>
        <v>-1</v>
      </c>
      <c r="U22" s="7">
        <v>0</v>
      </c>
      <c r="V22" s="7">
        <v>0</v>
      </c>
    </row>
    <row r="23" spans="1:22" x14ac:dyDescent="0.25">
      <c r="A23" s="6">
        <v>37</v>
      </c>
      <c r="B23" s="6" t="s">
        <v>104</v>
      </c>
      <c r="C23" s="7">
        <v>18601</v>
      </c>
      <c r="D23" s="7">
        <v>33</v>
      </c>
      <c r="E23" s="7">
        <v>33</v>
      </c>
      <c r="F23" s="8">
        <f>E23-D23</f>
        <v>0</v>
      </c>
      <c r="G23" s="7">
        <v>5</v>
      </c>
      <c r="H23" s="7">
        <v>5</v>
      </c>
      <c r="I23" s="8">
        <f>H23-G23</f>
        <v>0</v>
      </c>
      <c r="J23" s="7">
        <v>28</v>
      </c>
      <c r="K23" s="7">
        <v>28</v>
      </c>
      <c r="L23" s="8">
        <f>K23-J23</f>
        <v>0</v>
      </c>
      <c r="M23" s="9">
        <f>IF(C23&gt;0,J23/C23*1000,"")</f>
        <v>1.5052954142250417</v>
      </c>
      <c r="N23" s="9">
        <f>IF(C23&gt;0,K23/C23*1000,"")</f>
        <v>1.5052954142250417</v>
      </c>
      <c r="O23" s="10">
        <f>IF(OR(M23="",N23=""),"",N23-M23)</f>
        <v>0</v>
      </c>
      <c r="P23" s="7">
        <v>28</v>
      </c>
      <c r="Q23" s="7">
        <v>28</v>
      </c>
      <c r="R23" s="7">
        <v>21</v>
      </c>
      <c r="S23" s="7">
        <v>22</v>
      </c>
      <c r="T23" s="8">
        <f>R23-S23</f>
        <v>-1</v>
      </c>
      <c r="U23" s="7">
        <v>8</v>
      </c>
      <c r="V23" s="7">
        <v>8</v>
      </c>
    </row>
    <row r="24" spans="1:22" x14ac:dyDescent="0.25">
      <c r="A24" s="6">
        <v>15</v>
      </c>
      <c r="B24" s="6" t="s">
        <v>105</v>
      </c>
      <c r="C24" s="7">
        <v>15502</v>
      </c>
      <c r="D24" s="7">
        <v>22</v>
      </c>
      <c r="E24" s="7">
        <v>22</v>
      </c>
      <c r="F24" s="8">
        <f>E24-D24</f>
        <v>0</v>
      </c>
      <c r="G24" s="7">
        <v>0</v>
      </c>
      <c r="H24" s="7">
        <v>0</v>
      </c>
      <c r="I24" s="8">
        <f>H24-G24</f>
        <v>0</v>
      </c>
      <c r="J24" s="7">
        <v>22</v>
      </c>
      <c r="K24" s="7">
        <v>22</v>
      </c>
      <c r="L24" s="8">
        <f>K24-J24</f>
        <v>0</v>
      </c>
      <c r="M24" s="9">
        <f>IF(C24&gt;0,J24/C24*1000,"")</f>
        <v>1.419171719778093</v>
      </c>
      <c r="N24" s="9">
        <f>IF(C24&gt;0,K24/C24*1000,"")</f>
        <v>1.419171719778093</v>
      </c>
      <c r="O24" s="10">
        <f>IF(OR(M24="",N24=""),"",N24-M24)</f>
        <v>0</v>
      </c>
      <c r="P24" s="7">
        <v>10</v>
      </c>
      <c r="Q24" s="7">
        <v>10</v>
      </c>
      <c r="R24" s="7">
        <v>22</v>
      </c>
      <c r="S24" s="7">
        <v>23</v>
      </c>
      <c r="T24" s="8">
        <f>R24-S24</f>
        <v>-1</v>
      </c>
      <c r="U24" s="7">
        <v>18</v>
      </c>
      <c r="V24" s="7">
        <v>16</v>
      </c>
    </row>
    <row r="25" spans="1:22" x14ac:dyDescent="0.25">
      <c r="A25" s="6">
        <v>21</v>
      </c>
      <c r="B25" s="6" t="s">
        <v>106</v>
      </c>
      <c r="C25" s="7">
        <v>23270</v>
      </c>
      <c r="D25" s="7">
        <v>37</v>
      </c>
      <c r="E25" s="7">
        <v>37</v>
      </c>
      <c r="F25" s="8">
        <f>E25-D25</f>
        <v>0</v>
      </c>
      <c r="G25" s="7">
        <v>7</v>
      </c>
      <c r="H25" s="7">
        <v>7</v>
      </c>
      <c r="I25" s="8">
        <f>H25-G25</f>
        <v>0</v>
      </c>
      <c r="J25" s="7">
        <v>30</v>
      </c>
      <c r="K25" s="7">
        <v>30</v>
      </c>
      <c r="L25" s="8">
        <f>K25-J25</f>
        <v>0</v>
      </c>
      <c r="M25" s="9">
        <f>IF(C25&gt;0,J25/C25*1000,"")</f>
        <v>1.289213579716373</v>
      </c>
      <c r="N25" s="9">
        <f>IF(C25&gt;0,K25/C25*1000,"")</f>
        <v>1.289213579716373</v>
      </c>
      <c r="O25" s="10">
        <f>IF(OR(M25="",N25=""),"",N25-M25)</f>
        <v>0</v>
      </c>
      <c r="P25" s="7">
        <v>25</v>
      </c>
      <c r="Q25" s="7">
        <v>25</v>
      </c>
      <c r="R25" s="7">
        <v>23</v>
      </c>
      <c r="S25" s="7">
        <v>24</v>
      </c>
      <c r="T25" s="8">
        <f>R25-S25</f>
        <v>-1</v>
      </c>
      <c r="U25" s="7">
        <v>19</v>
      </c>
      <c r="V25" s="7">
        <v>19</v>
      </c>
    </row>
    <row r="26" spans="1:22" x14ac:dyDescent="0.25">
      <c r="A26" s="6">
        <v>36</v>
      </c>
      <c r="B26" s="6" t="s">
        <v>107</v>
      </c>
      <c r="C26" s="7">
        <v>20764</v>
      </c>
      <c r="D26" s="7">
        <v>56</v>
      </c>
      <c r="E26" s="7">
        <v>56</v>
      </c>
      <c r="F26" s="8">
        <f>E26-D26</f>
        <v>0</v>
      </c>
      <c r="G26" s="7">
        <v>30</v>
      </c>
      <c r="H26" s="7">
        <v>30</v>
      </c>
      <c r="I26" s="8">
        <f>H26-G26</f>
        <v>0</v>
      </c>
      <c r="J26" s="7">
        <v>26</v>
      </c>
      <c r="K26" s="7">
        <v>26</v>
      </c>
      <c r="L26" s="8">
        <f>K26-J26</f>
        <v>0</v>
      </c>
      <c r="M26" s="9">
        <f>IF(C26&gt;0,J26/C26*1000,"")</f>
        <v>1.252167212483144</v>
      </c>
      <c r="N26" s="9">
        <f>IF(C26&gt;0,K26/C26*1000,"")</f>
        <v>1.252167212483144</v>
      </c>
      <c r="O26" s="10">
        <f>IF(OR(M26="",N26=""),"",N26-M26)</f>
        <v>0</v>
      </c>
      <c r="P26" s="7">
        <v>38</v>
      </c>
      <c r="Q26" s="7">
        <v>38</v>
      </c>
      <c r="R26" s="7">
        <v>24</v>
      </c>
      <c r="S26" s="7">
        <v>25</v>
      </c>
      <c r="T26" s="8">
        <f>R26-S26</f>
        <v>-1</v>
      </c>
      <c r="U26" s="7">
        <v>2</v>
      </c>
      <c r="V26" s="7">
        <v>2</v>
      </c>
    </row>
    <row r="27" spans="1:22" x14ac:dyDescent="0.25">
      <c r="A27" s="6">
        <v>43</v>
      </c>
      <c r="B27" s="6" t="s">
        <v>108</v>
      </c>
      <c r="C27" s="7">
        <v>34360</v>
      </c>
      <c r="D27" s="7">
        <v>104</v>
      </c>
      <c r="E27" s="7">
        <v>104</v>
      </c>
      <c r="F27" s="8">
        <f>E27-D27</f>
        <v>0</v>
      </c>
      <c r="G27" s="7">
        <v>62</v>
      </c>
      <c r="H27" s="7">
        <v>62</v>
      </c>
      <c r="I27" s="8">
        <f>H27-G27</f>
        <v>0</v>
      </c>
      <c r="J27" s="7">
        <v>42</v>
      </c>
      <c r="K27" s="7">
        <v>42</v>
      </c>
      <c r="L27" s="8">
        <f>K27-J27</f>
        <v>0</v>
      </c>
      <c r="M27" s="9">
        <f>IF(C27&gt;0,J27/C27*1000,"")</f>
        <v>1.2223515715948778</v>
      </c>
      <c r="N27" s="9">
        <f>IF(C27&gt;0,K27/C27*1000,"")</f>
        <v>1.2223515715948778</v>
      </c>
      <c r="O27" s="10">
        <f>IF(OR(M27="",N27=""),"",N27-M27)</f>
        <v>0</v>
      </c>
      <c r="P27" s="7">
        <v>48</v>
      </c>
      <c r="Q27" s="7">
        <v>48</v>
      </c>
      <c r="R27" s="7">
        <v>25</v>
      </c>
      <c r="S27" s="7">
        <v>26</v>
      </c>
      <c r="T27" s="8">
        <f>R27-S27</f>
        <v>-1</v>
      </c>
      <c r="U27" s="7">
        <v>0</v>
      </c>
      <c r="V27" s="7">
        <v>0</v>
      </c>
    </row>
    <row r="28" spans="1:22" x14ac:dyDescent="0.25">
      <c r="A28" s="6">
        <v>35</v>
      </c>
      <c r="B28" s="6" t="s">
        <v>109</v>
      </c>
      <c r="C28" s="7">
        <v>23394</v>
      </c>
      <c r="D28" s="7">
        <v>43</v>
      </c>
      <c r="E28" s="7">
        <v>43</v>
      </c>
      <c r="F28" s="8">
        <f>E28-D28</f>
        <v>0</v>
      </c>
      <c r="G28" s="7">
        <v>16</v>
      </c>
      <c r="H28" s="7">
        <v>16</v>
      </c>
      <c r="I28" s="8">
        <f>H28-G28</f>
        <v>0</v>
      </c>
      <c r="J28" s="7">
        <v>27</v>
      </c>
      <c r="K28" s="7">
        <v>27</v>
      </c>
      <c r="L28" s="8">
        <f>K28-J28</f>
        <v>0</v>
      </c>
      <c r="M28" s="9">
        <f>IF(C28&gt;0,J28/C28*1000,"")</f>
        <v>1.1541420877147988</v>
      </c>
      <c r="N28" s="9">
        <f>IF(C28&gt;0,K28/C28*1000,"")</f>
        <v>1.1541420877147988</v>
      </c>
      <c r="O28" s="10">
        <f>IF(OR(M28="",N28=""),"",N28-M28)</f>
        <v>0</v>
      </c>
      <c r="P28" s="7">
        <v>28</v>
      </c>
      <c r="Q28" s="7">
        <v>28</v>
      </c>
      <c r="R28" s="7">
        <v>26</v>
      </c>
      <c r="S28" s="7">
        <v>27</v>
      </c>
      <c r="T28" s="8">
        <f>R28-S28</f>
        <v>-1</v>
      </c>
      <c r="U28" s="7">
        <v>0</v>
      </c>
      <c r="V28" s="7">
        <v>0</v>
      </c>
    </row>
    <row r="29" spans="1:22" x14ac:dyDescent="0.25">
      <c r="A29" s="6">
        <v>33</v>
      </c>
      <c r="B29" s="6" t="s">
        <v>110</v>
      </c>
      <c r="C29" s="7">
        <v>21804</v>
      </c>
      <c r="D29" s="7">
        <v>38</v>
      </c>
      <c r="E29" s="7">
        <v>38</v>
      </c>
      <c r="F29" s="8">
        <f>E29-D29</f>
        <v>0</v>
      </c>
      <c r="G29" s="7">
        <v>17</v>
      </c>
      <c r="H29" s="7">
        <v>15</v>
      </c>
      <c r="I29" s="8">
        <f>H29-G29</f>
        <v>-2</v>
      </c>
      <c r="J29" s="7">
        <v>21</v>
      </c>
      <c r="K29" s="7">
        <v>23</v>
      </c>
      <c r="L29" s="8">
        <f>K29-J29</f>
        <v>2</v>
      </c>
      <c r="M29" s="9">
        <f>IF(C29&gt;0,J29/C29*1000,"")</f>
        <v>0.9631260319207485</v>
      </c>
      <c r="N29" s="9">
        <f>IF(C29&gt;0,K29/C29*1000,"")</f>
        <v>1.0548523206751055</v>
      </c>
      <c r="O29" s="10">
        <f>IF(OR(M29="",N29=""),"",N29-M29)</f>
        <v>0.09172628875435695</v>
      </c>
      <c r="P29" s="7">
        <v>24</v>
      </c>
      <c r="Q29" s="7">
        <v>24</v>
      </c>
      <c r="R29" s="7">
        <v>27</v>
      </c>
      <c r="S29" s="7">
        <v>28</v>
      </c>
      <c r="T29" s="8">
        <f>R29-S29</f>
        <v>-1</v>
      </c>
      <c r="U29" s="7">
        <v>0</v>
      </c>
      <c r="V29" s="7">
        <v>0</v>
      </c>
    </row>
    <row r="30" spans="1:22" x14ac:dyDescent="0.25">
      <c r="A30" s="6">
        <v>47</v>
      </c>
      <c r="B30" s="6" t="s">
        <v>111</v>
      </c>
      <c r="C30" s="7">
        <v>30483</v>
      </c>
      <c r="D30" s="7">
        <v>98</v>
      </c>
      <c r="E30" s="7">
        <v>98</v>
      </c>
      <c r="F30" s="8">
        <f>E30-D30</f>
        <v>0</v>
      </c>
      <c r="G30" s="7">
        <v>69</v>
      </c>
      <c r="H30" s="7">
        <v>69</v>
      </c>
      <c r="I30" s="8">
        <f>H30-G30</f>
        <v>0</v>
      </c>
      <c r="J30" s="7">
        <v>29</v>
      </c>
      <c r="K30" s="7">
        <v>29</v>
      </c>
      <c r="L30" s="8">
        <f>K30-J30</f>
        <v>0</v>
      </c>
      <c r="M30" s="9">
        <f>IF(C30&gt;0,J30/C30*1000,"")</f>
        <v>0.9513499327494014</v>
      </c>
      <c r="N30" s="9">
        <f>IF(C30&gt;0,K30/C30*1000,"")</f>
        <v>0.9513499327494014</v>
      </c>
      <c r="O30" s="10">
        <f>IF(OR(M30="",N30=""),"",N30-M30)</f>
        <v>0</v>
      </c>
      <c r="P30" s="7">
        <v>70</v>
      </c>
      <c r="Q30" s="7">
        <v>70</v>
      </c>
      <c r="R30" s="7">
        <v>28</v>
      </c>
      <c r="S30" s="7">
        <v>29</v>
      </c>
      <c r="T30" s="8">
        <f>R30-S30</f>
        <v>-1</v>
      </c>
      <c r="U30" s="7">
        <v>1</v>
      </c>
      <c r="V30" s="7">
        <v>1</v>
      </c>
    </row>
    <row r="31" spans="1:22" x14ac:dyDescent="0.25">
      <c r="A31" s="6">
        <v>38</v>
      </c>
      <c r="B31" s="6" t="s">
        <v>112</v>
      </c>
      <c r="C31" s="7">
        <v>21982</v>
      </c>
      <c r="D31" s="7">
        <v>23</v>
      </c>
      <c r="E31" s="7">
        <v>23</v>
      </c>
      <c r="F31" s="8">
        <f>E31-D31</f>
        <v>0</v>
      </c>
      <c r="G31" s="7">
        <v>3</v>
      </c>
      <c r="H31" s="7">
        <v>3</v>
      </c>
      <c r="I31" s="8">
        <f>H31-G31</f>
        <v>0</v>
      </c>
      <c r="J31" s="7">
        <v>20</v>
      </c>
      <c r="K31" s="7">
        <v>20</v>
      </c>
      <c r="L31" s="8">
        <f>K31-J31</f>
        <v>0</v>
      </c>
      <c r="M31" s="9">
        <f>IF(C31&gt;0,J31/C31*1000,"")</f>
        <v>0.909835319807115</v>
      </c>
      <c r="N31" s="9">
        <f>IF(C31&gt;0,K31/C31*1000,"")</f>
        <v>0.909835319807115</v>
      </c>
      <c r="O31" s="10">
        <f>IF(OR(M31="",N31=""),"",N31-M31)</f>
        <v>0</v>
      </c>
      <c r="P31" s="7">
        <v>10</v>
      </c>
      <c r="Q31" s="7">
        <v>10</v>
      </c>
      <c r="R31" s="7">
        <v>29</v>
      </c>
      <c r="S31" s="7">
        <v>30</v>
      </c>
      <c r="T31" s="8">
        <f>R31-S31</f>
        <v>-1</v>
      </c>
      <c r="U31" s="7">
        <v>0</v>
      </c>
      <c r="V31" s="7">
        <v>0</v>
      </c>
    </row>
    <row r="32" spans="1:22" x14ac:dyDescent="0.25">
      <c r="A32" s="6">
        <v>2</v>
      </c>
      <c r="B32" s="6" t="s">
        <v>113</v>
      </c>
      <c r="C32" s="7">
        <v>50289</v>
      </c>
      <c r="D32" s="7">
        <v>63</v>
      </c>
      <c r="E32" s="7">
        <v>63</v>
      </c>
      <c r="F32" s="8">
        <f>E32-D32</f>
        <v>0</v>
      </c>
      <c r="G32" s="7">
        <v>19</v>
      </c>
      <c r="H32" s="7">
        <v>19</v>
      </c>
      <c r="I32" s="8">
        <f>H32-G32</f>
        <v>0</v>
      </c>
      <c r="J32" s="7">
        <v>44</v>
      </c>
      <c r="K32" s="7">
        <v>44</v>
      </c>
      <c r="L32" s="8">
        <f>K32-J32</f>
        <v>0</v>
      </c>
      <c r="M32" s="9">
        <f>IF(C32&gt;0,J32/C32*1000,"")</f>
        <v>0.8749428304400564</v>
      </c>
      <c r="N32" s="9">
        <f>IF(C32&gt;0,K32/C32*1000,"")</f>
        <v>0.8749428304400564</v>
      </c>
      <c r="O32" s="10">
        <f>IF(OR(M32="",N32=""),"",N32-M32)</f>
        <v>0</v>
      </c>
      <c r="P32" s="7">
        <v>17</v>
      </c>
      <c r="Q32" s="7">
        <v>17</v>
      </c>
      <c r="R32" s="7">
        <v>30</v>
      </c>
      <c r="S32" s="7">
        <v>31</v>
      </c>
      <c r="T32" s="8">
        <f>R32-S32</f>
        <v>-1</v>
      </c>
      <c r="U32" s="7">
        <v>0</v>
      </c>
      <c r="V32" s="7">
        <v>0</v>
      </c>
    </row>
    <row r="33" spans="1:22" x14ac:dyDescent="0.25">
      <c r="A33" s="6">
        <v>16</v>
      </c>
      <c r="B33" s="6" t="s">
        <v>114</v>
      </c>
      <c r="C33" s="7">
        <v>20208</v>
      </c>
      <c r="D33" s="7">
        <v>16</v>
      </c>
      <c r="E33" s="7">
        <v>16</v>
      </c>
      <c r="F33" s="8">
        <f>E33-D33</f>
        <v>0</v>
      </c>
      <c r="G33" s="7">
        <v>2</v>
      </c>
      <c r="H33" s="7">
        <v>2</v>
      </c>
      <c r="I33" s="8">
        <f>H33-G33</f>
        <v>0</v>
      </c>
      <c r="J33" s="7">
        <v>14</v>
      </c>
      <c r="K33" s="7">
        <v>14</v>
      </c>
      <c r="L33" s="8">
        <f>K33-J33</f>
        <v>0</v>
      </c>
      <c r="M33" s="9">
        <f>IF(C33&gt;0,J33/C33*1000,"")</f>
        <v>0.6927949326999208</v>
      </c>
      <c r="N33" s="9">
        <f>IF(C33&gt;0,K33/C33*1000,"")</f>
        <v>0.6927949326999208</v>
      </c>
      <c r="O33" s="10">
        <f>IF(OR(M33="",N33=""),"",N33-M33)</f>
        <v>0</v>
      </c>
      <c r="P33" s="7">
        <v>12</v>
      </c>
      <c r="Q33" s="7">
        <v>12</v>
      </c>
      <c r="R33" s="7">
        <v>31</v>
      </c>
      <c r="S33" s="7">
        <v>32</v>
      </c>
      <c r="T33" s="8">
        <f>R33-S33</f>
        <v>-1</v>
      </c>
      <c r="U33" s="7">
        <v>51</v>
      </c>
      <c r="V33" s="7">
        <v>51</v>
      </c>
    </row>
    <row r="34" spans="1:22" x14ac:dyDescent="0.25">
      <c r="A34" s="6">
        <v>41</v>
      </c>
      <c r="B34" s="6" t="s">
        <v>115</v>
      </c>
      <c r="C34" s="7">
        <v>25462</v>
      </c>
      <c r="D34" s="7">
        <v>24</v>
      </c>
      <c r="E34" s="7">
        <v>24</v>
      </c>
      <c r="F34" s="8">
        <f>E34-D34</f>
        <v>0</v>
      </c>
      <c r="G34" s="7">
        <v>12</v>
      </c>
      <c r="H34" s="7">
        <v>11</v>
      </c>
      <c r="I34" s="8">
        <f>H34-G34</f>
        <v>-1</v>
      </c>
      <c r="J34" s="7">
        <v>12</v>
      </c>
      <c r="K34" s="7">
        <v>13</v>
      </c>
      <c r="L34" s="8">
        <f>K34-J34</f>
        <v>1</v>
      </c>
      <c r="M34" s="9">
        <f>IF(C34&gt;0,J34/C34*1000,"")</f>
        <v>0.47129055062446</v>
      </c>
      <c r="N34" s="9">
        <f>IF(C34&gt;0,K34/C34*1000,"")</f>
        <v>0.5105647631764982</v>
      </c>
      <c r="O34" s="10">
        <f>IF(OR(M34="",N34=""),"",N34-M34)</f>
        <v>0.039274212552038223</v>
      </c>
      <c r="P34" s="7">
        <v>16</v>
      </c>
      <c r="Q34" s="7">
        <v>16</v>
      </c>
      <c r="R34" s="7">
        <v>33</v>
      </c>
      <c r="S34" s="7">
        <v>33</v>
      </c>
      <c r="T34" s="8">
        <f>R34-S34</f>
        <v>0</v>
      </c>
      <c r="U34" s="7">
        <v>0</v>
      </c>
      <c r="V34" s="7">
        <v>0</v>
      </c>
    </row>
    <row r="35" spans="1:22" x14ac:dyDescent="0.25">
      <c r="A35" s="6">
        <v>45</v>
      </c>
      <c r="B35" s="6" t="s">
        <v>116</v>
      </c>
      <c r="C35" s="7">
        <v>24235</v>
      </c>
      <c r="D35" s="7">
        <v>20</v>
      </c>
      <c r="E35" s="7">
        <v>20</v>
      </c>
      <c r="F35" s="8">
        <f>E35-D35</f>
        <v>0</v>
      </c>
      <c r="G35" s="7">
        <v>8</v>
      </c>
      <c r="H35" s="7">
        <v>8</v>
      </c>
      <c r="I35" s="8">
        <f>H35-G35</f>
        <v>0</v>
      </c>
      <c r="J35" s="7">
        <v>12</v>
      </c>
      <c r="K35" s="7">
        <v>12</v>
      </c>
      <c r="L35" s="8">
        <f>K35-J35</f>
        <v>0</v>
      </c>
      <c r="M35" s="9">
        <f>IF(C35&gt;0,J35/C35*1000,"")</f>
        <v>0.4951516401898082</v>
      </c>
      <c r="N35" s="9">
        <f>IF(C35&gt;0,K35/C35*1000,"")</f>
        <v>0.4951516401898082</v>
      </c>
      <c r="O35" s="10">
        <f>IF(OR(M35="",N35=""),"",N35-M35)</f>
        <v>0</v>
      </c>
      <c r="P35" s="7">
        <v>15</v>
      </c>
      <c r="Q35" s="7">
        <v>15</v>
      </c>
      <c r="R35" s="7">
        <v>32</v>
      </c>
      <c r="S35" s="7">
        <v>34</v>
      </c>
      <c r="T35" s="8">
        <f>R35-S35</f>
        <v>-2</v>
      </c>
      <c r="U35" s="7">
        <v>0</v>
      </c>
      <c r="V35" s="7">
        <v>0</v>
      </c>
    </row>
    <row r="36" spans="1:22" x14ac:dyDescent="0.25">
      <c r="A36" s="6">
        <v>7</v>
      </c>
      <c r="B36" s="6" t="s">
        <v>117</v>
      </c>
      <c r="C36" s="7">
        <v>28483</v>
      </c>
      <c r="D36" s="7">
        <v>15</v>
      </c>
      <c r="E36" s="7">
        <v>15</v>
      </c>
      <c r="F36" s="8">
        <f>E36-D36</f>
        <v>0</v>
      </c>
      <c r="G36" s="7">
        <v>3</v>
      </c>
      <c r="H36" s="7">
        <v>3</v>
      </c>
      <c r="I36" s="8">
        <f>H36-G36</f>
        <v>0</v>
      </c>
      <c r="J36" s="7">
        <v>12</v>
      </c>
      <c r="K36" s="7">
        <v>12</v>
      </c>
      <c r="L36" s="8">
        <f>K36-J36</f>
        <v>0</v>
      </c>
      <c r="M36" s="9">
        <f>IF(C36&gt;0,J36/C36*1000,"")</f>
        <v>0.42130393568093244</v>
      </c>
      <c r="N36" s="9">
        <f>IF(C36&gt;0,K36/C36*1000,"")</f>
        <v>0.42130393568093244</v>
      </c>
      <c r="O36" s="10">
        <f>IF(OR(M36="",N36=""),"",N36-M36)</f>
        <v>0</v>
      </c>
      <c r="P36" s="7">
        <v>4</v>
      </c>
      <c r="Q36" s="7">
        <v>4</v>
      </c>
      <c r="R36" s="7">
        <v>34</v>
      </c>
      <c r="S36" s="7">
        <v>35</v>
      </c>
      <c r="T36" s="8">
        <f>R36-S36</f>
        <v>-1</v>
      </c>
      <c r="U36" s="7">
        <v>15</v>
      </c>
      <c r="V36" s="7">
        <v>15</v>
      </c>
    </row>
    <row r="37" spans="1:22" x14ac:dyDescent="0.25">
      <c r="A37" s="6">
        <v>50</v>
      </c>
      <c r="B37" s="6" t="s">
        <v>118</v>
      </c>
      <c r="C37" s="7">
        <v>19909</v>
      </c>
      <c r="D37" s="7">
        <v>11</v>
      </c>
      <c r="E37" s="7">
        <v>11</v>
      </c>
      <c r="F37" s="8">
        <f>E37-D37</f>
        <v>0</v>
      </c>
      <c r="G37" s="7">
        <v>3</v>
      </c>
      <c r="H37" s="7">
        <v>3</v>
      </c>
      <c r="I37" s="8">
        <f>H37-G37</f>
        <v>0</v>
      </c>
      <c r="J37" s="7">
        <v>8</v>
      </c>
      <c r="K37" s="7">
        <v>8</v>
      </c>
      <c r="L37" s="8">
        <f>K37-J37</f>
        <v>0</v>
      </c>
      <c r="M37" s="9">
        <f>IF(C37&gt;0,J37/C37*1000,"")</f>
        <v>0.40182831885077097</v>
      </c>
      <c r="N37" s="9">
        <f>IF(C37&gt;0,K37/C37*1000,"")</f>
        <v>0.40182831885077097</v>
      </c>
      <c r="O37" s="10">
        <f>IF(OR(M37="",N37=""),"",N37-M37)</f>
        <v>0</v>
      </c>
      <c r="P37" s="7">
        <v>11</v>
      </c>
      <c r="Q37" s="7">
        <v>11</v>
      </c>
      <c r="R37" s="7">
        <v>35</v>
      </c>
      <c r="S37" s="7">
        <v>36</v>
      </c>
      <c r="T37" s="8">
        <f>R37-S37</f>
        <v>-1</v>
      </c>
      <c r="U37" s="7">
        <v>0</v>
      </c>
      <c r="V37" s="7">
        <v>0</v>
      </c>
    </row>
    <row r="38" spans="1:22" x14ac:dyDescent="0.25">
      <c r="A38" s="6">
        <v>39</v>
      </c>
      <c r="B38" s="6" t="s">
        <v>119</v>
      </c>
      <c r="C38" s="7">
        <v>22495</v>
      </c>
      <c r="D38" s="7">
        <v>22</v>
      </c>
      <c r="E38" s="7">
        <v>22</v>
      </c>
      <c r="F38" s="8">
        <f>E38-D38</f>
        <v>0</v>
      </c>
      <c r="G38" s="7">
        <v>13</v>
      </c>
      <c r="H38" s="7">
        <v>13</v>
      </c>
      <c r="I38" s="8">
        <f>H38-G38</f>
        <v>0</v>
      </c>
      <c r="J38" s="7">
        <v>9</v>
      </c>
      <c r="K38" s="7">
        <v>9</v>
      </c>
      <c r="L38" s="8">
        <f>K38-J38</f>
        <v>0</v>
      </c>
      <c r="M38" s="9">
        <f>IF(C38&gt;0,J38/C38*1000,"")</f>
        <v>0.40008890864636587</v>
      </c>
      <c r="N38" s="9">
        <f>IF(C38&gt;0,K38/C38*1000,"")</f>
        <v>0.40008890864636587</v>
      </c>
      <c r="O38" s="10">
        <f>IF(OR(M38="",N38=""),"",N38-M38)</f>
        <v>0</v>
      </c>
      <c r="P38" s="7">
        <v>18</v>
      </c>
      <c r="Q38" s="7">
        <v>18</v>
      </c>
      <c r="R38" s="7">
        <v>36</v>
      </c>
      <c r="S38" s="7">
        <v>37</v>
      </c>
      <c r="T38" s="8">
        <f>R38-S38</f>
        <v>-1</v>
      </c>
      <c r="U38" s="7">
        <v>0</v>
      </c>
      <c r="V38" s="7">
        <v>0</v>
      </c>
    </row>
    <row r="39" spans="1:22" x14ac:dyDescent="0.25">
      <c r="A39" s="6">
        <v>8</v>
      </c>
      <c r="B39" s="6" t="s">
        <v>120</v>
      </c>
      <c r="C39" s="7">
        <v>27536</v>
      </c>
      <c r="D39" s="7">
        <v>9</v>
      </c>
      <c r="E39" s="7">
        <v>9</v>
      </c>
      <c r="F39" s="8">
        <f>E39-D39</f>
        <v>0</v>
      </c>
      <c r="G39" s="7">
        <v>1</v>
      </c>
      <c r="H39" s="7">
        <v>1</v>
      </c>
      <c r="I39" s="8">
        <f>H39-G39</f>
        <v>0</v>
      </c>
      <c r="J39" s="7">
        <v>8</v>
      </c>
      <c r="K39" s="7">
        <v>8</v>
      </c>
      <c r="L39" s="8">
        <f>K39-J39</f>
        <v>0</v>
      </c>
      <c r="M39" s="9">
        <f>IF(C39&gt;0,J39/C39*1000,"")</f>
        <v>0.2905287623474724</v>
      </c>
      <c r="N39" s="9">
        <f>IF(C39&gt;0,K39/C39*1000,"")</f>
        <v>0.2905287623474724</v>
      </c>
      <c r="O39" s="10">
        <f>IF(OR(M39="",N39=""),"",N39-M39)</f>
        <v>0</v>
      </c>
      <c r="P39" s="7">
        <v>5</v>
      </c>
      <c r="Q39" s="7">
        <v>5</v>
      </c>
      <c r="R39" s="7">
        <v>37</v>
      </c>
      <c r="S39" s="7">
        <v>38</v>
      </c>
      <c r="T39" s="8">
        <f>R39-S39</f>
        <v>-1</v>
      </c>
      <c r="U39" s="7">
        <v>12</v>
      </c>
      <c r="V39" s="7">
        <v>12</v>
      </c>
    </row>
    <row r="40" spans="1:22" x14ac:dyDescent="0.25">
      <c r="A40" s="6">
        <v>29</v>
      </c>
      <c r="B40" s="6" t="s">
        <v>121</v>
      </c>
      <c r="C40" s="7">
        <v>21072</v>
      </c>
      <c r="D40" s="7">
        <v>9</v>
      </c>
      <c r="E40" s="7">
        <v>9</v>
      </c>
      <c r="F40" s="8">
        <f>E40-D40</f>
        <v>0</v>
      </c>
      <c r="G40" s="7">
        <v>3</v>
      </c>
      <c r="H40" s="7">
        <v>3</v>
      </c>
      <c r="I40" s="8">
        <f>H40-G40</f>
        <v>0</v>
      </c>
      <c r="J40" s="7">
        <v>6</v>
      </c>
      <c r="K40" s="7">
        <v>6</v>
      </c>
      <c r="L40" s="8">
        <f>K40-J40</f>
        <v>0</v>
      </c>
      <c r="M40" s="9">
        <f>IF(C40&gt;0,J40/C40*1000,"")</f>
        <v>0.2847380410022779</v>
      </c>
      <c r="N40" s="9">
        <f>IF(C40&gt;0,K40/C40*1000,"")</f>
        <v>0.2847380410022779</v>
      </c>
      <c r="O40" s="10">
        <f>IF(OR(M40="",N40=""),"",N40-M40)</f>
        <v>0</v>
      </c>
      <c r="P40" s="7">
        <v>9</v>
      </c>
      <c r="Q40" s="7">
        <v>9</v>
      </c>
      <c r="R40" s="7">
        <v>38</v>
      </c>
      <c r="S40" s="7">
        <v>39</v>
      </c>
      <c r="T40" s="8">
        <f>R40-S40</f>
        <v>-1</v>
      </c>
      <c r="U40" s="7">
        <v>3</v>
      </c>
      <c r="V40" s="7">
        <v>3</v>
      </c>
    </row>
    <row r="41" spans="1:22" x14ac:dyDescent="0.25">
      <c r="A41" s="6">
        <v>17</v>
      </c>
      <c r="B41" s="6" t="s">
        <v>122</v>
      </c>
      <c r="C41" s="7">
        <v>21944</v>
      </c>
      <c r="D41" s="7">
        <v>10</v>
      </c>
      <c r="E41" s="7">
        <v>10</v>
      </c>
      <c r="F41" s="8">
        <f>E41-D41</f>
        <v>0</v>
      </c>
      <c r="G41" s="7">
        <v>4</v>
      </c>
      <c r="H41" s="7">
        <v>4</v>
      </c>
      <c r="I41" s="8">
        <f>H41-G41</f>
        <v>0</v>
      </c>
      <c r="J41" s="7">
        <v>6</v>
      </c>
      <c r="K41" s="7">
        <v>6</v>
      </c>
      <c r="L41" s="8">
        <f>K41-J41</f>
        <v>0</v>
      </c>
      <c r="M41" s="9">
        <f>IF(C41&gt;0,J41/C41*1000,"")</f>
        <v>0.27342325920524974</v>
      </c>
      <c r="N41" s="9">
        <f>IF(C41&gt;0,K41/C41*1000,"")</f>
        <v>0.27342325920524974</v>
      </c>
      <c r="O41" s="10">
        <f>IF(OR(M41="",N41=""),"",N41-M41)</f>
        <v>0</v>
      </c>
      <c r="P41" s="7">
        <v>12</v>
      </c>
      <c r="Q41" s="7">
        <v>12</v>
      </c>
      <c r="R41" s="7">
        <v>39</v>
      </c>
      <c r="S41" s="7">
        <v>40</v>
      </c>
      <c r="T41" s="8">
        <f>R41-S41</f>
        <v>-1</v>
      </c>
      <c r="U41" s="7">
        <v>22</v>
      </c>
      <c r="V41" s="7">
        <v>22</v>
      </c>
    </row>
    <row r="42" spans="1:22" x14ac:dyDescent="0.25">
      <c r="A42" s="6">
        <v>19</v>
      </c>
      <c r="B42" s="6" t="s">
        <v>123</v>
      </c>
      <c r="C42" s="7">
        <v>21515</v>
      </c>
      <c r="D42" s="7">
        <v>8</v>
      </c>
      <c r="E42" s="7">
        <v>8</v>
      </c>
      <c r="F42" s="8">
        <f>E42-D42</f>
        <v>0</v>
      </c>
      <c r="G42" s="7">
        <v>6</v>
      </c>
      <c r="H42" s="7">
        <v>5</v>
      </c>
      <c r="I42" s="8">
        <f>H42-G42</f>
        <v>-1</v>
      </c>
      <c r="J42" s="7">
        <v>2</v>
      </c>
      <c r="K42" s="7">
        <v>3</v>
      </c>
      <c r="L42" s="8">
        <f>K42-J42</f>
        <v>1</v>
      </c>
      <c r="M42" s="9">
        <f>IF(C42&gt;0,J42/C42*1000,"")</f>
        <v>0.09295840111550081</v>
      </c>
      <c r="N42" s="9">
        <f>IF(C42&gt;0,K42/C42*1000,"")</f>
        <v>0.13943760167325123</v>
      </c>
      <c r="O42" s="10">
        <f>IF(OR(M42="",N42=""),"",N42-M42)</f>
        <v>0.046479200557750414</v>
      </c>
      <c r="P42" s="7">
        <v>9</v>
      </c>
      <c r="Q42" s="7">
        <v>9</v>
      </c>
      <c r="R42" s="7">
        <v>42</v>
      </c>
      <c r="S42" s="7">
        <v>41</v>
      </c>
      <c r="T42" s="8">
        <f>R42-S42</f>
        <v>1</v>
      </c>
      <c r="U42" s="7">
        <v>1</v>
      </c>
      <c r="V42" s="7">
        <v>1</v>
      </c>
    </row>
    <row r="43" spans="1:22" x14ac:dyDescent="0.25">
      <c r="A43" s="6">
        <v>31</v>
      </c>
      <c r="B43" s="6" t="s">
        <v>124</v>
      </c>
      <c r="C43" s="7">
        <v>17755</v>
      </c>
      <c r="D43" s="7">
        <v>7</v>
      </c>
      <c r="E43" s="7">
        <v>7</v>
      </c>
      <c r="F43" s="8">
        <f>E43-D43</f>
        <v>0</v>
      </c>
      <c r="G43" s="7">
        <v>5</v>
      </c>
      <c r="H43" s="7">
        <v>5</v>
      </c>
      <c r="I43" s="8">
        <f>H43-G43</f>
        <v>0</v>
      </c>
      <c r="J43" s="7">
        <v>2</v>
      </c>
      <c r="K43" s="7">
        <v>2</v>
      </c>
      <c r="L43" s="8">
        <f>K43-J43</f>
        <v>0</v>
      </c>
      <c r="M43" s="9">
        <f>IF(C43&gt;0,J43/C43*1000,"")</f>
        <v>0.11264432554210081</v>
      </c>
      <c r="N43" s="9">
        <f>IF(C43&gt;0,K43/C43*1000,"")</f>
        <v>0.11264432554210081</v>
      </c>
      <c r="O43" s="10">
        <f>IF(OR(M43="",N43=""),"",N43-M43)</f>
        <v>0</v>
      </c>
      <c r="P43" s="7">
        <v>6</v>
      </c>
      <c r="Q43" s="7">
        <v>6</v>
      </c>
      <c r="R43" s="7">
        <v>40</v>
      </c>
      <c r="S43" s="7">
        <v>42</v>
      </c>
      <c r="T43" s="8">
        <f>R43-S43</f>
        <v>-2</v>
      </c>
      <c r="U43" s="7">
        <v>0</v>
      </c>
      <c r="V43" s="7">
        <v>0</v>
      </c>
    </row>
    <row r="44" spans="1:22" x14ac:dyDescent="0.25">
      <c r="A44" s="6">
        <v>49</v>
      </c>
      <c r="B44" s="6" t="s">
        <v>125</v>
      </c>
      <c r="C44" s="7">
        <v>30084</v>
      </c>
      <c r="D44" s="7">
        <v>5</v>
      </c>
      <c r="E44" s="7">
        <v>5</v>
      </c>
      <c r="F44" s="8">
        <f>E44-D44</f>
        <v>0</v>
      </c>
      <c r="G44" s="7">
        <v>2</v>
      </c>
      <c r="H44" s="7">
        <v>2</v>
      </c>
      <c r="I44" s="8">
        <f>H44-G44</f>
        <v>0</v>
      </c>
      <c r="J44" s="7">
        <v>3</v>
      </c>
      <c r="K44" s="7">
        <v>3</v>
      </c>
      <c r="L44" s="8">
        <f>K44-J44</f>
        <v>0</v>
      </c>
      <c r="M44" s="9">
        <f>IF(C44&gt;0,J44/C44*1000,"")</f>
        <v>0.09972078181092939</v>
      </c>
      <c r="N44" s="9">
        <f>IF(C44&gt;0,K44/C44*1000,"")</f>
        <v>0.09972078181092939</v>
      </c>
      <c r="O44" s="10">
        <f>IF(OR(M44="",N44=""),"",N44-M44)</f>
        <v>0</v>
      </c>
      <c r="P44" s="7">
        <v>5</v>
      </c>
      <c r="Q44" s="7">
        <v>5</v>
      </c>
      <c r="R44" s="7">
        <v>41</v>
      </c>
      <c r="S44" s="7">
        <v>43</v>
      </c>
      <c r="T44" s="8">
        <f>R44-S44</f>
        <v>-2</v>
      </c>
      <c r="U44" s="7">
        <v>0</v>
      </c>
      <c r="V44" s="7">
        <v>0</v>
      </c>
    </row>
    <row r="45" spans="1:22" x14ac:dyDescent="0.25">
      <c r="A45" s="6">
        <v>9</v>
      </c>
      <c r="B45" s="6" t="s">
        <v>126</v>
      </c>
      <c r="C45" s="7">
        <v>25610</v>
      </c>
      <c r="D45" s="7">
        <v>9</v>
      </c>
      <c r="E45" s="7">
        <v>9</v>
      </c>
      <c r="F45" s="8">
        <f>E45-D45</f>
        <v>0</v>
      </c>
      <c r="G45" s="7">
        <v>9</v>
      </c>
      <c r="H45" s="7">
        <v>7</v>
      </c>
      <c r="I45" s="8">
        <f>H45-G45</f>
        <v>-2</v>
      </c>
      <c r="J45" s="7">
        <v>0</v>
      </c>
      <c r="K45" s="7">
        <v>2</v>
      </c>
      <c r="L45" s="8">
        <f>K45-J45</f>
        <v>2</v>
      </c>
      <c r="M45" s="9">
        <f>IF(C45&gt;0,J45/C45*1000,"")</f>
        <v>0</v>
      </c>
      <c r="N45" s="9">
        <f>IF(C45&gt;0,K45/C45*1000,"")</f>
        <v>0.07809449433814916</v>
      </c>
      <c r="O45" s="10">
        <f>IF(OR(M45="",N45=""),"",N45-M45)</f>
        <v>0.07809449433814916</v>
      </c>
      <c r="P45" s="7">
        <v>14</v>
      </c>
      <c r="Q45" s="7">
        <v>13</v>
      </c>
      <c r="R45" s="7">
        <v>45</v>
      </c>
      <c r="S45" s="7">
        <v>44</v>
      </c>
      <c r="T45" s="8">
        <f>R45-S45</f>
        <v>1</v>
      </c>
      <c r="U45" s="7">
        <v>24</v>
      </c>
      <c r="V45" s="7">
        <v>24</v>
      </c>
    </row>
    <row r="46" spans="1:22" x14ac:dyDescent="0.25">
      <c r="A46" s="6">
        <v>30</v>
      </c>
      <c r="B46" s="6" t="s">
        <v>127</v>
      </c>
      <c r="C46" s="7">
        <v>19725</v>
      </c>
      <c r="D46" s="7">
        <v>14</v>
      </c>
      <c r="E46" s="7">
        <v>14</v>
      </c>
      <c r="F46" s="8">
        <f>E46-D46</f>
        <v>0</v>
      </c>
      <c r="G46" s="7">
        <v>13</v>
      </c>
      <c r="H46" s="7">
        <v>13</v>
      </c>
      <c r="I46" s="8">
        <f>H46-G46</f>
        <v>0</v>
      </c>
      <c r="J46" s="7">
        <v>1</v>
      </c>
      <c r="K46" s="7">
        <v>1</v>
      </c>
      <c r="L46" s="8">
        <f>K46-J46</f>
        <v>0</v>
      </c>
      <c r="M46" s="9">
        <f>IF(C46&gt;0,J46/C46*1000,"")</f>
        <v>0.050697084917617236</v>
      </c>
      <c r="N46" s="9">
        <f>IF(C46&gt;0,K46/C46*1000,"")</f>
        <v>0.050697084917617236</v>
      </c>
      <c r="O46" s="10">
        <f>IF(OR(M46="",N46=""),"",N46-M46)</f>
        <v>0</v>
      </c>
      <c r="P46" s="7">
        <v>21</v>
      </c>
      <c r="Q46" s="7">
        <v>21</v>
      </c>
      <c r="R46" s="7">
        <v>43</v>
      </c>
      <c r="S46" s="7">
        <v>45</v>
      </c>
      <c r="T46" s="8">
        <f>R46-S46</f>
        <v>-2</v>
      </c>
      <c r="U46" s="7">
        <v>0</v>
      </c>
      <c r="V46" s="7">
        <v>0</v>
      </c>
    </row>
    <row r="47" spans="1:22" x14ac:dyDescent="0.25">
      <c r="A47" s="6">
        <v>18</v>
      </c>
      <c r="B47" s="6" t="s">
        <v>128</v>
      </c>
      <c r="C47" s="7">
        <v>20225</v>
      </c>
      <c r="D47" s="7">
        <v>1</v>
      </c>
      <c r="E47" s="7">
        <v>1</v>
      </c>
      <c r="F47" s="8">
        <f>E47-D47</f>
        <v>0</v>
      </c>
      <c r="G47" s="7">
        <v>0</v>
      </c>
      <c r="H47" s="7">
        <v>0</v>
      </c>
      <c r="I47" s="8">
        <f>H47-G47</f>
        <v>0</v>
      </c>
      <c r="J47" s="7">
        <v>1</v>
      </c>
      <c r="K47" s="7">
        <v>1</v>
      </c>
      <c r="L47" s="8">
        <f>K47-J47</f>
        <v>0</v>
      </c>
      <c r="M47" s="9">
        <f>IF(C47&gt;0,J47/C47*1000,"")</f>
        <v>0.049443757725587144</v>
      </c>
      <c r="N47" s="9">
        <f>IF(C47&gt;0,K47/C47*1000,"")</f>
        <v>0.049443757725587144</v>
      </c>
      <c r="O47" s="10">
        <f>IF(OR(M47="",N47=""),"",N47-M47)</f>
        <v>0</v>
      </c>
      <c r="P47" s="7">
        <v>1</v>
      </c>
      <c r="Q47" s="7">
        <v>1</v>
      </c>
      <c r="R47" s="7">
        <v>44</v>
      </c>
      <c r="S47" s="7">
        <v>46</v>
      </c>
      <c r="T47" s="8">
        <f>R47-S47</f>
        <v>-2</v>
      </c>
      <c r="U47" s="7">
        <v>0</v>
      </c>
      <c r="V47" s="7">
        <v>0</v>
      </c>
    </row>
    <row r="48" spans="1:22" x14ac:dyDescent="0.25">
      <c r="A48" s="6">
        <v>13</v>
      </c>
      <c r="B48" s="6" t="s">
        <v>129</v>
      </c>
      <c r="C48" s="7">
        <v>18500</v>
      </c>
      <c r="D48" s="7">
        <v>2</v>
      </c>
      <c r="E48" s="7">
        <v>2</v>
      </c>
      <c r="F48" s="8">
        <f>E48-D48</f>
        <v>0</v>
      </c>
      <c r="G48" s="7">
        <v>2</v>
      </c>
      <c r="H48" s="7">
        <v>2</v>
      </c>
      <c r="I48" s="8">
        <f>H48-G48</f>
        <v>0</v>
      </c>
      <c r="J48" s="7">
        <v>0</v>
      </c>
      <c r="K48" s="7">
        <v>0</v>
      </c>
      <c r="L48" s="8">
        <f>K48-J48</f>
        <v>0</v>
      </c>
      <c r="M48" s="9">
        <f>IF(C48&gt;0,J48/C48*1000,"")</f>
        <v>0</v>
      </c>
      <c r="N48" s="9">
        <f>IF(C48&gt;0,K48/C48*1000,"")</f>
        <v>0</v>
      </c>
      <c r="O48" s="10">
        <f>IF(OR(M48="",N48=""),"",N48-M48)</f>
        <v>0</v>
      </c>
      <c r="P48" s="7">
        <v>4</v>
      </c>
      <c r="Q48" s="7">
        <v>4</v>
      </c>
      <c r="R48" s="7">
        <v>46</v>
      </c>
      <c r="S48" s="7">
        <v>47</v>
      </c>
      <c r="T48" s="8">
        <f>R48-S48</f>
        <v>-1</v>
      </c>
      <c r="U48" s="7">
        <v>0</v>
      </c>
      <c r="V48" s="7">
        <v>0</v>
      </c>
    </row>
    <row r="49" spans="1:22" x14ac:dyDescent="0.25">
      <c r="A49" s="6">
        <v>10</v>
      </c>
      <c r="B49" s="6" t="s">
        <v>130</v>
      </c>
      <c r="C49" s="7">
        <v>17638</v>
      </c>
      <c r="D49" s="7">
        <v>1</v>
      </c>
      <c r="E49" s="7">
        <v>1</v>
      </c>
      <c r="F49" s="8">
        <f>E49-D49</f>
        <v>0</v>
      </c>
      <c r="G49" s="7">
        <v>2</v>
      </c>
      <c r="H49" s="7">
        <v>2</v>
      </c>
      <c r="I49" s="8">
        <f>H49-G49</f>
        <v>0</v>
      </c>
      <c r="J49" s="7">
        <v>-1</v>
      </c>
      <c r="K49" s="7">
        <v>-1</v>
      </c>
      <c r="L49" s="8">
        <f>K49-J49</f>
        <v>0</v>
      </c>
      <c r="M49" s="9">
        <f>IF(C49&gt;0,J49/C49*1000,"")</f>
        <v>-0.05669577049552103</v>
      </c>
      <c r="N49" s="9">
        <f>IF(C49&gt;0,K49/C49*1000,"")</f>
        <v>-0.05669577049552103</v>
      </c>
      <c r="O49" s="10">
        <f>IF(OR(M49="",N49=""),"",N49-M49)</f>
        <v>0</v>
      </c>
      <c r="P49" s="7">
        <v>2</v>
      </c>
      <c r="Q49" s="7">
        <v>2</v>
      </c>
      <c r="R49" s="7">
        <v>47</v>
      </c>
      <c r="S49" s="7">
        <v>48</v>
      </c>
      <c r="T49" s="8">
        <f>R49-S49</f>
        <v>-1</v>
      </c>
      <c r="U49" s="7">
        <v>6</v>
      </c>
      <c r="V49" s="7">
        <v>6</v>
      </c>
    </row>
    <row r="50" spans="1:22" x14ac:dyDescent="0.25">
      <c r="A50" s="6">
        <v>23</v>
      </c>
      <c r="B50" s="6" t="s">
        <v>131</v>
      </c>
      <c r="C50" s="7">
        <v>16232</v>
      </c>
      <c r="D50" s="7">
        <v>1</v>
      </c>
      <c r="E50" s="7">
        <v>1</v>
      </c>
      <c r="F50" s="8">
        <f>E50-D50</f>
        <v>0</v>
      </c>
      <c r="G50" s="7">
        <v>2</v>
      </c>
      <c r="H50" s="7">
        <v>2</v>
      </c>
      <c r="I50" s="8">
        <f>H50-G50</f>
        <v>0</v>
      </c>
      <c r="J50" s="7">
        <v>-1</v>
      </c>
      <c r="K50" s="7">
        <v>-1</v>
      </c>
      <c r="L50" s="8">
        <f>K50-J50</f>
        <v>0</v>
      </c>
      <c r="M50" s="9">
        <f>IF(C50&gt;0,J50/C50*1000,"")</f>
        <v>-0.061606702809265654</v>
      </c>
      <c r="N50" s="9">
        <f>IF(C50&gt;0,K50/C50*1000,"")</f>
        <v>-0.061606702809265654</v>
      </c>
      <c r="O50" s="10">
        <f>IF(OR(M50="",N50=""),"",N50-M50)</f>
        <v>0</v>
      </c>
      <c r="P50" s="7">
        <v>2</v>
      </c>
      <c r="Q50" s="7">
        <v>2</v>
      </c>
      <c r="R50" s="7">
        <v>48</v>
      </c>
      <c r="S50" s="7">
        <v>49</v>
      </c>
      <c r="T50" s="8">
        <f>R50-S50</f>
        <v>-1</v>
      </c>
      <c r="U50" s="7">
        <v>0</v>
      </c>
      <c r="V50" s="7">
        <v>0</v>
      </c>
    </row>
    <row r="51" spans="1:22" x14ac:dyDescent="0.25">
      <c r="A51" s="6">
        <v>5</v>
      </c>
      <c r="B51" s="6" t="s">
        <v>132</v>
      </c>
      <c r="C51" s="7">
        <v>30778</v>
      </c>
      <c r="D51" s="7">
        <v>1</v>
      </c>
      <c r="E51" s="7">
        <v>1</v>
      </c>
      <c r="F51" s="8">
        <f>E51-D51</f>
        <v>0</v>
      </c>
      <c r="G51" s="7">
        <v>5</v>
      </c>
      <c r="H51" s="7">
        <v>5</v>
      </c>
      <c r="I51" s="8">
        <f>H51-G51</f>
        <v>0</v>
      </c>
      <c r="J51" s="7">
        <v>-4</v>
      </c>
      <c r="K51" s="7">
        <v>-4</v>
      </c>
      <c r="L51" s="8">
        <f>K51-J51</f>
        <v>0</v>
      </c>
      <c r="M51" s="9">
        <f>IF(C51&gt;0,J51/C51*1000,"")</f>
        <v>-0.12996296055624146</v>
      </c>
      <c r="N51" s="9">
        <f>IF(C51&gt;0,K51/C51*1000,"")</f>
        <v>-0.12996296055624146</v>
      </c>
      <c r="O51" s="10">
        <f>IF(OR(M51="",N51=""),"",N51-M51)</f>
        <v>0</v>
      </c>
      <c r="P51" s="7">
        <v>5</v>
      </c>
      <c r="Q51" s="7">
        <v>5</v>
      </c>
      <c r="R51" s="7">
        <v>49</v>
      </c>
      <c r="S51" s="7">
        <v>50</v>
      </c>
      <c r="T51" s="8">
        <f>R51-S51</f>
        <v>-1</v>
      </c>
      <c r="U51" s="7">
        <v>3</v>
      </c>
      <c r="V51" s="7">
        <v>3</v>
      </c>
    </row>
    <row r="52" spans="1:22" x14ac:dyDescent="0.25">
      <c r="A52" s="12" t="s">
        <v>10</v>
      </c>
      <c r="B52" s="12" t="s">
        <v>133</v>
      </c>
      <c r="C52" s="13">
        <f>SUM(C2:C51)</f>
        <v>1295960</v>
      </c>
      <c r="D52" s="13">
        <f>SUM(D2:D51)</f>
        <v>5118</v>
      </c>
      <c r="E52" s="13">
        <f>SUM(E2:E51)</f>
        <v>5118</v>
      </c>
      <c r="F52" s="14">
        <f>E52-D52</f>
        <v>0</v>
      </c>
      <c r="G52" s="13">
        <f>SUM(G2:G51)</f>
        <v>718</v>
      </c>
      <c r="H52" s="13">
        <f>SUM(H2:H51)</f>
        <v>633</v>
      </c>
      <c r="I52" s="14">
        <f>H52-G52</f>
        <v>-85</v>
      </c>
      <c r="J52" s="13">
        <f>SUM(J2:J51)</f>
        <v>4400</v>
      </c>
      <c r="K52" s="13">
        <f>SUM(K2:K51)</f>
        <v>4485</v>
      </c>
      <c r="L52" s="14">
        <f>K52-J52</f>
        <v>85</v>
      </c>
      <c r="M52" s="15">
        <f>IF(C52&gt;0,J52/C52*1000,"")</f>
        <v>3.3951665174851073</v>
      </c>
      <c r="N52" s="15">
        <f>IF(C52&gt;0,K52/C52*1000,"")</f>
        <v>3.460754961572888</v>
      </c>
      <c r="O52" s="16">
        <f>IF(OR(M52="",N52=""),"",N52-M52)</f>
        <v>0.06558844408778075</v>
      </c>
      <c r="P52" s="13">
        <f>SUM(P2:P51)</f>
        <v>1154</v>
      </c>
      <c r="Q52" s="13">
        <f>SUM(Q2:Q51)</f>
        <v>1152</v>
      </c>
      <c r="R52" s="13" t="s">
        <v>133</v>
      </c>
      <c r="S52" s="13" t="s">
        <v>133</v>
      </c>
      <c r="T52" s="13" t="s">
        <v>133</v>
      </c>
      <c r="U52" s="13">
        <f>SUM(U2:U51)</f>
        <v>250</v>
      </c>
      <c r="V52" s="13">
        <f>SUM(V2:V51)</f>
        <v>246</v>
      </c>
    </row>
  </sheetData>
  <autoFilter ref="A1:V51"/>
  <conditionalFormatting sqref="F2:F52">
    <cfRule type="cellIs" dxfId="24" priority="1" operator="greaterThan">
      <formula>0</formula>
    </cfRule>
    <cfRule type="cellIs" dxfId="25" priority="2" operator="lessThan">
      <formula>0</formula>
    </cfRule>
  </conditionalFormatting>
  <conditionalFormatting sqref="I2:I52">
    <cfRule type="cellIs" dxfId="26" priority="1" operator="greaterThan">
      <formula>0</formula>
    </cfRule>
    <cfRule type="cellIs" dxfId="27" priority="2" operator="lessThan">
      <formula>0</formula>
    </cfRule>
  </conditionalFormatting>
  <conditionalFormatting sqref="L2:L52">
    <cfRule type="cellIs" dxfId="28" priority="1" operator="greaterThan">
      <formula>0</formula>
    </cfRule>
    <cfRule type="cellIs" dxfId="29" priority="2" operator="lessThan">
      <formula>0</formula>
    </cfRule>
  </conditionalFormatting>
  <conditionalFormatting sqref="O2:O52">
    <cfRule type="cellIs" dxfId="30" priority="1" operator="greaterThan">
      <formula>0</formula>
    </cfRule>
    <cfRule type="cellIs" dxfId="31" priority="2" operator="lessThan">
      <formula>0</formula>
    </cfRule>
  </conditionalFormatting>
  <conditionalFormatting sqref="T2:T51">
    <cfRule type="cellIs" dxfId="32" priority="1" operator="greaterThan">
      <formula>0</formula>
    </cfRule>
    <cfRule type="cellIs" dxfId="3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52"/>
  <sheetViews>
    <sheetView workbookViewId="0">
      <pane xSplit="2" ySplit="1" topLeftCell="C2" activePane="bottomRight" state="frozen"/>
      <selection pane="bottomRight"/>
    </sheetView>
  </sheetViews>
  <sheetFormatPr defaultRowHeight="15" outlineLevelRow="0" outlineLevelCol="0" x14ac:dyDescent="55"/>
  <cols>
    <col min="1" max="1" width="7" customWidth="1"/>
    <col min="2" max="2" width="24" customWidth="1"/>
    <col min="3" max="22" width="12" customWidth="1"/>
  </cols>
  <sheetData>
    <row r="1" ht="30" customHeight="1" spans="1:22" x14ac:dyDescent="0.25">
      <c r="A1" s="5" t="s">
        <v>61</v>
      </c>
      <c r="B1" s="5" t="s">
        <v>62</v>
      </c>
      <c r="C1" s="5" t="s">
        <v>63</v>
      </c>
      <c r="D1" s="5" t="s">
        <v>64</v>
      </c>
      <c r="E1" s="5" t="s">
        <v>65</v>
      </c>
      <c r="F1" s="5" t="s">
        <v>66</v>
      </c>
      <c r="G1" s="5" t="s">
        <v>67</v>
      </c>
      <c r="H1" s="5" t="s">
        <v>68</v>
      </c>
      <c r="I1" s="5" t="s">
        <v>69</v>
      </c>
      <c r="J1" s="5" t="s">
        <v>70</v>
      </c>
      <c r="K1" s="5" t="s">
        <v>71</v>
      </c>
      <c r="L1" s="5" t="s">
        <v>72</v>
      </c>
      <c r="M1" s="5" t="s">
        <v>73</v>
      </c>
      <c r="N1" s="5" t="s">
        <v>74</v>
      </c>
      <c r="O1" s="5" t="s">
        <v>75</v>
      </c>
      <c r="P1" s="5" t="s">
        <v>76</v>
      </c>
      <c r="Q1" s="5" t="s">
        <v>77</v>
      </c>
      <c r="R1" s="5" t="s">
        <v>78</v>
      </c>
      <c r="S1" s="5" t="s">
        <v>79</v>
      </c>
      <c r="T1" s="5" t="s">
        <v>80</v>
      </c>
      <c r="U1" s="5" t="s">
        <v>81</v>
      </c>
      <c r="V1" s="5" t="s">
        <v>82</v>
      </c>
    </row>
    <row r="2" spans="1:22" x14ac:dyDescent="0.25">
      <c r="A2" s="6">
        <v>27</v>
      </c>
      <c r="B2" s="6" t="s">
        <v>83</v>
      </c>
      <c r="C2" s="7">
        <v>33867</v>
      </c>
      <c r="D2" s="7">
        <v>2763</v>
      </c>
      <c r="E2" s="7">
        <v>2763</v>
      </c>
      <c r="F2" s="8">
        <f>E2-D2</f>
        <v>0</v>
      </c>
      <c r="G2" s="7">
        <v>39</v>
      </c>
      <c r="H2" s="7">
        <v>38</v>
      </c>
      <c r="I2" s="8">
        <f>H2-G2</f>
        <v>-1</v>
      </c>
      <c r="J2" s="7">
        <v>2724</v>
      </c>
      <c r="K2" s="7">
        <v>2725</v>
      </c>
      <c r="L2" s="8">
        <f>K2-J2</f>
        <v>1</v>
      </c>
      <c r="M2" s="9">
        <f>IF(C2&gt;0,J2/C2*1000,"")</f>
        <v>80.4322792098503</v>
      </c>
      <c r="N2" s="9">
        <f>IF(C2&gt;0,K2/C2*1000,"")</f>
        <v>80.46180647828268</v>
      </c>
      <c r="O2" s="10">
        <f>IF(OR(M2="",N2=""),"",N2-M2)</f>
        <v>0.029527268432389064</v>
      </c>
      <c r="P2" s="7">
        <v>185</v>
      </c>
      <c r="Q2" s="7">
        <v>184</v>
      </c>
      <c r="R2" s="7">
        <v>1</v>
      </c>
      <c r="S2" s="7">
        <v>1</v>
      </c>
      <c r="T2" s="8">
        <f>R2-S2</f>
        <v>0</v>
      </c>
      <c r="U2" s="7">
        <v>13</v>
      </c>
      <c r="V2" s="7">
        <v>13</v>
      </c>
    </row>
    <row r="3" spans="1:22" x14ac:dyDescent="0.25">
      <c r="A3" s="6">
        <v>3</v>
      </c>
      <c r="B3" s="6" t="s">
        <v>89</v>
      </c>
      <c r="C3" s="7">
        <v>33194</v>
      </c>
      <c r="D3" s="7">
        <v>1069</v>
      </c>
      <c r="E3" s="7">
        <v>1069</v>
      </c>
      <c r="F3" s="8">
        <f>E3-D3</f>
        <v>0</v>
      </c>
      <c r="G3" s="7">
        <v>3</v>
      </c>
      <c r="H3" s="7">
        <v>3</v>
      </c>
      <c r="I3" s="8">
        <f>H3-G3</f>
        <v>0</v>
      </c>
      <c r="J3" s="7">
        <v>1066</v>
      </c>
      <c r="K3" s="7">
        <v>1066</v>
      </c>
      <c r="L3" s="8">
        <f>K3-J3</f>
        <v>0</v>
      </c>
      <c r="M3" s="9">
        <f>IF(C3&gt;0,J3/C3*1000,"")</f>
        <v>32.11423751280352</v>
      </c>
      <c r="N3" s="9">
        <f>IF(C3&gt;0,K3/C3*1000,"")</f>
        <v>32.11423751280352</v>
      </c>
      <c r="O3" s="10">
        <f>IF(OR(M3="",N3=""),"",N3-M3)</f>
        <v>0</v>
      </c>
      <c r="P3" s="7">
        <v>110</v>
      </c>
      <c r="Q3" s="7">
        <v>110</v>
      </c>
      <c r="R3" s="7">
        <v>2</v>
      </c>
      <c r="S3" s="7">
        <v>2</v>
      </c>
      <c r="T3" s="8">
        <f>R3-S3</f>
        <v>0</v>
      </c>
      <c r="U3" s="7">
        <v>9</v>
      </c>
      <c r="V3" s="7">
        <v>9</v>
      </c>
    </row>
    <row r="4" spans="1:22" x14ac:dyDescent="0.25">
      <c r="A4" s="6">
        <v>34</v>
      </c>
      <c r="B4" s="6" t="s">
        <v>84</v>
      </c>
      <c r="C4" s="7">
        <v>42742</v>
      </c>
      <c r="D4" s="7">
        <v>1372</v>
      </c>
      <c r="E4" s="7">
        <v>1372</v>
      </c>
      <c r="F4" s="8">
        <f>E4-D4</f>
        <v>0</v>
      </c>
      <c r="G4" s="7">
        <v>18</v>
      </c>
      <c r="H4" s="7">
        <v>18</v>
      </c>
      <c r="I4" s="8">
        <f>H4-G4</f>
        <v>0</v>
      </c>
      <c r="J4" s="7">
        <v>1354</v>
      </c>
      <c r="K4" s="7">
        <v>1354</v>
      </c>
      <c r="L4" s="8">
        <f>K4-J4</f>
        <v>0</v>
      </c>
      <c r="M4" s="9">
        <f>IF(C4&gt;0,J4/C4*1000,"")</f>
        <v>31.67844274952038</v>
      </c>
      <c r="N4" s="9">
        <f>IF(C4&gt;0,K4/C4*1000,"")</f>
        <v>31.67844274952038</v>
      </c>
      <c r="O4" s="10">
        <f>IF(OR(M4="",N4=""),"",N4-M4)</f>
        <v>0</v>
      </c>
      <c r="P4" s="7">
        <v>27</v>
      </c>
      <c r="Q4" s="7">
        <v>27</v>
      </c>
      <c r="R4" s="7">
        <v>3</v>
      </c>
      <c r="S4" s="7">
        <v>3</v>
      </c>
      <c r="T4" s="8">
        <f>R4-S4</f>
        <v>0</v>
      </c>
      <c r="U4" s="7">
        <v>0</v>
      </c>
      <c r="V4" s="7">
        <v>0</v>
      </c>
    </row>
    <row r="5" spans="1:22" x14ac:dyDescent="0.25">
      <c r="A5" s="6">
        <v>28</v>
      </c>
      <c r="B5" s="6" t="s">
        <v>86</v>
      </c>
      <c r="C5" s="7">
        <v>23699</v>
      </c>
      <c r="D5" s="7">
        <v>580</v>
      </c>
      <c r="E5" s="7">
        <v>580</v>
      </c>
      <c r="F5" s="8">
        <f>E5-D5</f>
        <v>0</v>
      </c>
      <c r="G5" s="7">
        <v>13</v>
      </c>
      <c r="H5" s="7">
        <v>13</v>
      </c>
      <c r="I5" s="8">
        <f>H5-G5</f>
        <v>0</v>
      </c>
      <c r="J5" s="7">
        <v>567</v>
      </c>
      <c r="K5" s="7">
        <v>567</v>
      </c>
      <c r="L5" s="8">
        <f>K5-J5</f>
        <v>0</v>
      </c>
      <c r="M5" s="9">
        <f>IF(C5&gt;0,J5/C5*1000,"")</f>
        <v>23.925060129119373</v>
      </c>
      <c r="N5" s="9">
        <f>IF(C5&gt;0,K5/C5*1000,"")</f>
        <v>23.925060129119373</v>
      </c>
      <c r="O5" s="10">
        <f>IF(OR(M5="",N5=""),"",N5-M5)</f>
        <v>0</v>
      </c>
      <c r="P5" s="7">
        <v>104</v>
      </c>
      <c r="Q5" s="7">
        <v>104</v>
      </c>
      <c r="R5" s="7">
        <v>4</v>
      </c>
      <c r="S5" s="7">
        <v>4</v>
      </c>
      <c r="T5" s="8">
        <f>R5-S5</f>
        <v>0</v>
      </c>
      <c r="U5" s="7">
        <v>54</v>
      </c>
      <c r="V5" s="7">
        <v>54</v>
      </c>
    </row>
    <row r="6" spans="1:22" x14ac:dyDescent="0.25">
      <c r="A6" s="6">
        <v>1</v>
      </c>
      <c r="B6" s="6" t="s">
        <v>85</v>
      </c>
      <c r="C6" s="7">
        <v>31159</v>
      </c>
      <c r="D6" s="7">
        <v>830</v>
      </c>
      <c r="E6" s="7">
        <v>830</v>
      </c>
      <c r="F6" s="8">
        <f>E6-D6</f>
        <v>0</v>
      </c>
      <c r="G6" s="7">
        <v>160</v>
      </c>
      <c r="H6" s="7">
        <v>160</v>
      </c>
      <c r="I6" s="8">
        <f>H6-G6</f>
        <v>0</v>
      </c>
      <c r="J6" s="7">
        <v>670</v>
      </c>
      <c r="K6" s="7">
        <v>670</v>
      </c>
      <c r="L6" s="8">
        <f>K6-J6</f>
        <v>0</v>
      </c>
      <c r="M6" s="9">
        <f>IF(C6&gt;0,J6/C6*1000,"")</f>
        <v>21.502615616675758</v>
      </c>
      <c r="N6" s="9">
        <f>IF(C6&gt;0,K6/C6*1000,"")</f>
        <v>21.502615616675758</v>
      </c>
      <c r="O6" s="10">
        <f>IF(OR(M6="",N6=""),"",N6-M6)</f>
        <v>0</v>
      </c>
      <c r="P6" s="7">
        <v>236</v>
      </c>
      <c r="Q6" s="7">
        <v>236</v>
      </c>
      <c r="R6" s="7">
        <v>5</v>
      </c>
      <c r="S6" s="7">
        <v>5</v>
      </c>
      <c r="T6" s="8">
        <f>R6-S6</f>
        <v>0</v>
      </c>
      <c r="U6" s="7">
        <v>0</v>
      </c>
      <c r="V6" s="7">
        <v>0</v>
      </c>
    </row>
    <row r="7" spans="1:22" x14ac:dyDescent="0.25">
      <c r="A7" s="6">
        <v>20</v>
      </c>
      <c r="B7" s="6" t="s">
        <v>95</v>
      </c>
      <c r="C7" s="7">
        <v>23006</v>
      </c>
      <c r="D7" s="7">
        <v>454</v>
      </c>
      <c r="E7" s="7">
        <v>454</v>
      </c>
      <c r="F7" s="8">
        <f>E7-D7</f>
        <v>0</v>
      </c>
      <c r="G7" s="7">
        <v>18</v>
      </c>
      <c r="H7" s="7">
        <v>18</v>
      </c>
      <c r="I7" s="8">
        <f>H7-G7</f>
        <v>0</v>
      </c>
      <c r="J7" s="7">
        <v>436</v>
      </c>
      <c r="K7" s="7">
        <v>436</v>
      </c>
      <c r="L7" s="8">
        <f>K7-J7</f>
        <v>0</v>
      </c>
      <c r="M7" s="9">
        <f>IF(C7&gt;0,J7/C7*1000,"")</f>
        <v>18.951577849256715</v>
      </c>
      <c r="N7" s="9">
        <f>IF(C7&gt;0,K7/C7*1000,"")</f>
        <v>18.951577849256715</v>
      </c>
      <c r="O7" s="10">
        <f>IF(OR(M7="",N7=""),"",N7-M7)</f>
        <v>0</v>
      </c>
      <c r="P7" s="7">
        <v>175</v>
      </c>
      <c r="Q7" s="7">
        <v>175</v>
      </c>
      <c r="R7" s="7">
        <v>6</v>
      </c>
      <c r="S7" s="7">
        <v>6</v>
      </c>
      <c r="T7" s="8">
        <f>R7-S7</f>
        <v>0</v>
      </c>
      <c r="U7" s="7">
        <v>42</v>
      </c>
      <c r="V7" s="7">
        <v>42</v>
      </c>
    </row>
    <row r="8" spans="1:22" x14ac:dyDescent="0.25">
      <c r="A8" s="6">
        <v>24</v>
      </c>
      <c r="B8" s="6" t="s">
        <v>88</v>
      </c>
      <c r="C8" s="7">
        <v>18790</v>
      </c>
      <c r="D8" s="7">
        <v>352</v>
      </c>
      <c r="E8" s="7">
        <v>352</v>
      </c>
      <c r="F8" s="8">
        <f>E8-D8</f>
        <v>0</v>
      </c>
      <c r="G8" s="7">
        <v>18</v>
      </c>
      <c r="H8" s="7">
        <v>18</v>
      </c>
      <c r="I8" s="8">
        <f>H8-G8</f>
        <v>0</v>
      </c>
      <c r="J8" s="7">
        <v>334</v>
      </c>
      <c r="K8" s="7">
        <v>334</v>
      </c>
      <c r="L8" s="8">
        <f>K8-J8</f>
        <v>0</v>
      </c>
      <c r="M8" s="9">
        <f>IF(C8&gt;0,J8/C8*1000,"")</f>
        <v>17.77541245343268</v>
      </c>
      <c r="N8" s="9">
        <f>IF(C8&gt;0,K8/C8*1000,"")</f>
        <v>17.77541245343268</v>
      </c>
      <c r="O8" s="10">
        <f>IF(OR(M8="",N8=""),"",N8-M8)</f>
        <v>0</v>
      </c>
      <c r="P8" s="7">
        <v>157</v>
      </c>
      <c r="Q8" s="7">
        <v>157</v>
      </c>
      <c r="R8" s="7">
        <v>7</v>
      </c>
      <c r="S8" s="7">
        <v>7</v>
      </c>
      <c r="T8" s="8">
        <f>R8-S8</f>
        <v>0</v>
      </c>
      <c r="U8" s="7">
        <v>41</v>
      </c>
      <c r="V8" s="7">
        <v>41</v>
      </c>
    </row>
    <row r="9" spans="1:22" x14ac:dyDescent="0.25">
      <c r="A9" s="6">
        <v>25</v>
      </c>
      <c r="B9" s="6" t="s">
        <v>91</v>
      </c>
      <c r="C9" s="7">
        <v>19836</v>
      </c>
      <c r="D9" s="7">
        <v>370</v>
      </c>
      <c r="E9" s="7">
        <v>370</v>
      </c>
      <c r="F9" s="8">
        <f>E9-D9</f>
        <v>0</v>
      </c>
      <c r="G9" s="7">
        <v>31</v>
      </c>
      <c r="H9" s="7">
        <v>31</v>
      </c>
      <c r="I9" s="8">
        <f>H9-G9</f>
        <v>0</v>
      </c>
      <c r="J9" s="7">
        <v>339</v>
      </c>
      <c r="K9" s="7">
        <v>339</v>
      </c>
      <c r="L9" s="8">
        <f>K9-J9</f>
        <v>0</v>
      </c>
      <c r="M9" s="9">
        <f>IF(C9&gt;0,J9/C9*1000,"")</f>
        <v>17.090139140955838</v>
      </c>
      <c r="N9" s="9">
        <f>IF(C9&gt;0,K9/C9*1000,"")</f>
        <v>17.090139140955838</v>
      </c>
      <c r="O9" s="10">
        <f>IF(OR(M9="",N9=""),"",N9-M9)</f>
        <v>0</v>
      </c>
      <c r="P9" s="7">
        <v>102</v>
      </c>
      <c r="Q9" s="7">
        <v>102</v>
      </c>
      <c r="R9" s="7">
        <v>8</v>
      </c>
      <c r="S9" s="7">
        <v>8</v>
      </c>
      <c r="T9" s="8">
        <f>R9-S9</f>
        <v>0</v>
      </c>
      <c r="U9" s="7">
        <v>8</v>
      </c>
      <c r="V9" s="7">
        <v>8</v>
      </c>
    </row>
    <row r="10" spans="1:22" x14ac:dyDescent="0.25">
      <c r="A10" s="6">
        <v>32</v>
      </c>
      <c r="B10" s="6" t="s">
        <v>87</v>
      </c>
      <c r="C10" s="7">
        <v>27933</v>
      </c>
      <c r="D10" s="7">
        <v>818</v>
      </c>
      <c r="E10" s="7">
        <v>818</v>
      </c>
      <c r="F10" s="8">
        <f>E10-D10</f>
        <v>0</v>
      </c>
      <c r="G10" s="7">
        <v>360</v>
      </c>
      <c r="H10" s="7">
        <v>346</v>
      </c>
      <c r="I10" s="8">
        <f>H10-G10</f>
        <v>-14</v>
      </c>
      <c r="J10" s="7">
        <v>458</v>
      </c>
      <c r="K10" s="7">
        <v>472</v>
      </c>
      <c r="L10" s="8">
        <f>K10-J10</f>
        <v>14</v>
      </c>
      <c r="M10" s="9">
        <f>IF(C10&gt;0,J10/C10*1000,"")</f>
        <v>16.396377045072136</v>
      </c>
      <c r="N10" s="9">
        <f>IF(C10&gt;0,K10/C10*1000,"")</f>
        <v>16.89757634339312</v>
      </c>
      <c r="O10" s="10">
        <f>IF(OR(M10="",N10=""),"",N10-M10)</f>
        <v>0.5011992983209836</v>
      </c>
      <c r="P10" s="7">
        <v>314</v>
      </c>
      <c r="Q10" s="7">
        <v>315</v>
      </c>
      <c r="R10" s="7">
        <v>9</v>
      </c>
      <c r="S10" s="7">
        <v>9</v>
      </c>
      <c r="T10" s="8">
        <f>R10-S10</f>
        <v>0</v>
      </c>
      <c r="U10" s="7">
        <v>0</v>
      </c>
      <c r="V10" s="7">
        <v>0</v>
      </c>
    </row>
    <row r="11" spans="1:22" x14ac:dyDescent="0.25">
      <c r="A11" s="6">
        <v>26</v>
      </c>
      <c r="B11" s="6" t="s">
        <v>90</v>
      </c>
      <c r="C11" s="7">
        <v>20670</v>
      </c>
      <c r="D11" s="7">
        <v>381</v>
      </c>
      <c r="E11" s="7">
        <v>381</v>
      </c>
      <c r="F11" s="8">
        <f>E11-D11</f>
        <v>0</v>
      </c>
      <c r="G11" s="7">
        <v>44</v>
      </c>
      <c r="H11" s="7">
        <v>44</v>
      </c>
      <c r="I11" s="8">
        <f>H11-G11</f>
        <v>0</v>
      </c>
      <c r="J11" s="7">
        <v>337</v>
      </c>
      <c r="K11" s="7">
        <v>337</v>
      </c>
      <c r="L11" s="8">
        <f>K11-J11</f>
        <v>0</v>
      </c>
      <c r="M11" s="9">
        <f>IF(C11&gt;0,J11/C11*1000,"")</f>
        <v>16.303821964199326</v>
      </c>
      <c r="N11" s="9">
        <f>IF(C11&gt;0,K11/C11*1000,"")</f>
        <v>16.303821964199326</v>
      </c>
      <c r="O11" s="10">
        <f>IF(OR(M11="",N11=""),"",N11-M11)</f>
        <v>0</v>
      </c>
      <c r="P11" s="7">
        <v>90</v>
      </c>
      <c r="Q11" s="7">
        <v>90</v>
      </c>
      <c r="R11" s="7">
        <v>10</v>
      </c>
      <c r="S11" s="7">
        <v>10</v>
      </c>
      <c r="T11" s="8">
        <f>R11-S11</f>
        <v>0</v>
      </c>
      <c r="U11" s="7">
        <v>9</v>
      </c>
      <c r="V11" s="7">
        <v>9</v>
      </c>
    </row>
    <row r="12" spans="1:22" x14ac:dyDescent="0.25">
      <c r="A12" s="6">
        <v>47</v>
      </c>
      <c r="B12" s="6" t="s">
        <v>111</v>
      </c>
      <c r="C12" s="7">
        <v>30483</v>
      </c>
      <c r="D12" s="7">
        <v>765</v>
      </c>
      <c r="E12" s="7">
        <v>765</v>
      </c>
      <c r="F12" s="8">
        <f>E12-D12</f>
        <v>0</v>
      </c>
      <c r="G12" s="7">
        <v>286</v>
      </c>
      <c r="H12" s="7">
        <v>279</v>
      </c>
      <c r="I12" s="8">
        <f>H12-G12</f>
        <v>-7</v>
      </c>
      <c r="J12" s="7">
        <v>479</v>
      </c>
      <c r="K12" s="7">
        <v>486</v>
      </c>
      <c r="L12" s="8">
        <f>K12-J12</f>
        <v>7</v>
      </c>
      <c r="M12" s="9">
        <f>IF(C12&gt;0,J12/C12*1000,"")</f>
        <v>15.713676475412525</v>
      </c>
      <c r="N12" s="9">
        <f>IF(C12&gt;0,K12/C12*1000,"")</f>
        <v>15.943312666076174</v>
      </c>
      <c r="O12" s="10">
        <f>IF(OR(M12="",N12=""),"",N12-M12)</f>
        <v>0.2296361906636495</v>
      </c>
      <c r="P12" s="7">
        <v>309</v>
      </c>
      <c r="Q12" s="7">
        <v>308</v>
      </c>
      <c r="R12" s="7">
        <v>12</v>
      </c>
      <c r="S12" s="7">
        <v>11</v>
      </c>
      <c r="T12" s="8">
        <f>R12-S12</f>
        <v>1</v>
      </c>
      <c r="U12" s="7">
        <v>4</v>
      </c>
      <c r="V12" s="7">
        <v>4</v>
      </c>
    </row>
    <row r="13" spans="1:22" x14ac:dyDescent="0.25">
      <c r="A13" s="6">
        <v>48</v>
      </c>
      <c r="B13" s="6" t="s">
        <v>94</v>
      </c>
      <c r="C13" s="7">
        <v>33333</v>
      </c>
      <c r="D13" s="7">
        <v>543</v>
      </c>
      <c r="E13" s="7">
        <v>543</v>
      </c>
      <c r="F13" s="8">
        <f>E13-D13</f>
        <v>0</v>
      </c>
      <c r="G13" s="7">
        <v>14</v>
      </c>
      <c r="H13" s="7">
        <v>14</v>
      </c>
      <c r="I13" s="8">
        <f>H13-G13</f>
        <v>0</v>
      </c>
      <c r="J13" s="7">
        <v>529</v>
      </c>
      <c r="K13" s="7">
        <v>529</v>
      </c>
      <c r="L13" s="8">
        <f>K13-J13</f>
        <v>0</v>
      </c>
      <c r="M13" s="9">
        <f>IF(C13&gt;0,J13/C13*1000,"")</f>
        <v>15.870158701587016</v>
      </c>
      <c r="N13" s="9">
        <f>IF(C13&gt;0,K13/C13*1000,"")</f>
        <v>15.870158701587016</v>
      </c>
      <c r="O13" s="10">
        <f>IF(OR(M13="",N13=""),"",N13-M13)</f>
        <v>0</v>
      </c>
      <c r="P13" s="7">
        <v>52</v>
      </c>
      <c r="Q13" s="7">
        <v>52</v>
      </c>
      <c r="R13" s="7">
        <v>11</v>
      </c>
      <c r="S13" s="7">
        <v>12</v>
      </c>
      <c r="T13" s="8">
        <f>R13-S13</f>
        <v>-1</v>
      </c>
      <c r="U13" s="7">
        <v>0</v>
      </c>
      <c r="V13" s="7">
        <v>0</v>
      </c>
    </row>
    <row r="14" spans="1:22" x14ac:dyDescent="0.25">
      <c r="A14" s="6">
        <v>42</v>
      </c>
      <c r="B14" s="6" t="s">
        <v>96</v>
      </c>
      <c r="C14" s="7">
        <v>67733</v>
      </c>
      <c r="D14" s="7">
        <v>1047</v>
      </c>
      <c r="E14" s="7">
        <v>1047</v>
      </c>
      <c r="F14" s="8">
        <f>E14-D14</f>
        <v>0</v>
      </c>
      <c r="G14" s="7">
        <v>3</v>
      </c>
      <c r="H14" s="7">
        <v>3</v>
      </c>
      <c r="I14" s="8">
        <f>H14-G14</f>
        <v>0</v>
      </c>
      <c r="J14" s="7">
        <v>1044</v>
      </c>
      <c r="K14" s="7">
        <v>1044</v>
      </c>
      <c r="L14" s="8">
        <f>K14-J14</f>
        <v>0</v>
      </c>
      <c r="M14" s="9">
        <f>IF(C14&gt;0,J14/C14*1000,"")</f>
        <v>15.413461680421657</v>
      </c>
      <c r="N14" s="9">
        <f>IF(C14&gt;0,K14/C14*1000,"")</f>
        <v>15.413461680421657</v>
      </c>
      <c r="O14" s="10">
        <f>IF(OR(M14="",N14=""),"",N14-M14)</f>
        <v>0</v>
      </c>
      <c r="P14" s="7">
        <v>17</v>
      </c>
      <c r="Q14" s="7">
        <v>17</v>
      </c>
      <c r="R14" s="7">
        <v>13</v>
      </c>
      <c r="S14" s="7">
        <v>13</v>
      </c>
      <c r="T14" s="8">
        <f>R14-S14</f>
        <v>0</v>
      </c>
      <c r="U14" s="7">
        <v>0</v>
      </c>
      <c r="V14" s="7">
        <v>0</v>
      </c>
    </row>
    <row r="15" spans="1:22" x14ac:dyDescent="0.25">
      <c r="A15" s="6">
        <v>44</v>
      </c>
      <c r="B15" s="6" t="s">
        <v>100</v>
      </c>
      <c r="C15" s="7">
        <v>36248</v>
      </c>
      <c r="D15" s="7">
        <v>462</v>
      </c>
      <c r="E15" s="7">
        <v>462</v>
      </c>
      <c r="F15" s="8">
        <f>E15-D15</f>
        <v>0</v>
      </c>
      <c r="G15" s="7">
        <v>218</v>
      </c>
      <c r="H15" s="7">
        <v>139</v>
      </c>
      <c r="I15" s="8">
        <f>H15-G15</f>
        <v>-79</v>
      </c>
      <c r="J15" s="7">
        <v>244</v>
      </c>
      <c r="K15" s="7">
        <v>323</v>
      </c>
      <c r="L15" s="8">
        <f>K15-J15</f>
        <v>79</v>
      </c>
      <c r="M15" s="9">
        <f>IF(C15&gt;0,J15/C15*1000,"")</f>
        <v>6.731405870668727</v>
      </c>
      <c r="N15" s="9">
        <f>IF(C15&gt;0,K15/C15*1000,"")</f>
        <v>8.910836459942617</v>
      </c>
      <c r="O15" s="10">
        <f>IF(OR(M15="",N15=""),"",N15-M15)</f>
        <v>2.17943058927389</v>
      </c>
      <c r="P15" s="7">
        <v>130</v>
      </c>
      <c r="Q15" s="7">
        <v>129</v>
      </c>
      <c r="R15" s="7">
        <v>17</v>
      </c>
      <c r="S15" s="7">
        <v>14</v>
      </c>
      <c r="T15" s="8">
        <f>R15-S15</f>
        <v>3</v>
      </c>
      <c r="U15" s="7">
        <v>0</v>
      </c>
      <c r="V15" s="7">
        <v>0</v>
      </c>
    </row>
    <row r="16" spans="1:22" x14ac:dyDescent="0.25">
      <c r="A16" s="6">
        <v>46</v>
      </c>
      <c r="B16" s="6" t="s">
        <v>93</v>
      </c>
      <c r="C16" s="7">
        <v>36269</v>
      </c>
      <c r="D16" s="7">
        <v>333</v>
      </c>
      <c r="E16" s="7">
        <v>333</v>
      </c>
      <c r="F16" s="8">
        <f>E16-D16</f>
        <v>0</v>
      </c>
      <c r="G16" s="7">
        <v>18</v>
      </c>
      <c r="H16" s="7">
        <v>18</v>
      </c>
      <c r="I16" s="8">
        <f>H16-G16</f>
        <v>0</v>
      </c>
      <c r="J16" s="7">
        <v>315</v>
      </c>
      <c r="K16" s="7">
        <v>315</v>
      </c>
      <c r="L16" s="8">
        <f>K16-J16</f>
        <v>0</v>
      </c>
      <c r="M16" s="9">
        <f>IF(C16&gt;0,J16/C16*1000,"")</f>
        <v>8.68510298050677</v>
      </c>
      <c r="N16" s="9">
        <f>IF(C16&gt;0,K16/C16*1000,"")</f>
        <v>8.68510298050677</v>
      </c>
      <c r="O16" s="10">
        <f>IF(OR(M16="",N16=""),"",N16-M16)</f>
        <v>0</v>
      </c>
      <c r="P16" s="7">
        <v>31</v>
      </c>
      <c r="Q16" s="7">
        <v>31</v>
      </c>
      <c r="R16" s="7">
        <v>14</v>
      </c>
      <c r="S16" s="7">
        <v>15</v>
      </c>
      <c r="T16" s="8">
        <f>R16-S16</f>
        <v>-1</v>
      </c>
      <c r="U16" s="7">
        <v>0</v>
      </c>
      <c r="V16" s="7">
        <v>0</v>
      </c>
    </row>
    <row r="17" spans="1:22" x14ac:dyDescent="0.25">
      <c r="A17" s="6">
        <v>43</v>
      </c>
      <c r="B17" s="6" t="s">
        <v>108</v>
      </c>
      <c r="C17" s="7">
        <v>34360</v>
      </c>
      <c r="D17" s="7">
        <v>423</v>
      </c>
      <c r="E17" s="7">
        <v>423</v>
      </c>
      <c r="F17" s="8">
        <f>E17-D17</f>
        <v>0</v>
      </c>
      <c r="G17" s="7">
        <v>165</v>
      </c>
      <c r="H17" s="7">
        <v>158</v>
      </c>
      <c r="I17" s="8">
        <f>H17-G17</f>
        <v>-7</v>
      </c>
      <c r="J17" s="7">
        <v>258</v>
      </c>
      <c r="K17" s="7">
        <v>265</v>
      </c>
      <c r="L17" s="8">
        <f>K17-J17</f>
        <v>7</v>
      </c>
      <c r="M17" s="9">
        <f>IF(C17&gt;0,J17/C17*1000,"")</f>
        <v>7.508731082654249</v>
      </c>
      <c r="N17" s="9">
        <f>IF(C17&gt;0,K17/C17*1000,"")</f>
        <v>7.7124563445867285</v>
      </c>
      <c r="O17" s="10">
        <f>IF(OR(M17="",N17=""),"",N17-M17)</f>
        <v>0.20372526193247964</v>
      </c>
      <c r="P17" s="7">
        <v>147</v>
      </c>
      <c r="Q17" s="7">
        <v>146</v>
      </c>
      <c r="R17" s="7">
        <v>15</v>
      </c>
      <c r="S17" s="7">
        <v>16</v>
      </c>
      <c r="T17" s="8">
        <f>R17-S17</f>
        <v>-1</v>
      </c>
      <c r="U17" s="7">
        <v>0</v>
      </c>
      <c r="V17" s="7">
        <v>0</v>
      </c>
    </row>
    <row r="18" spans="1:22" x14ac:dyDescent="0.25">
      <c r="A18" s="6">
        <v>2</v>
      </c>
      <c r="B18" s="6" t="s">
        <v>113</v>
      </c>
      <c r="C18" s="7">
        <v>50289</v>
      </c>
      <c r="D18" s="7">
        <v>405</v>
      </c>
      <c r="E18" s="7">
        <v>405</v>
      </c>
      <c r="F18" s="8">
        <f>E18-D18</f>
        <v>0</v>
      </c>
      <c r="G18" s="7">
        <v>57</v>
      </c>
      <c r="H18" s="7">
        <v>56</v>
      </c>
      <c r="I18" s="8">
        <f>H18-G18</f>
        <v>-1</v>
      </c>
      <c r="J18" s="7">
        <v>348</v>
      </c>
      <c r="K18" s="7">
        <v>349</v>
      </c>
      <c r="L18" s="8">
        <f>K18-J18</f>
        <v>1</v>
      </c>
      <c r="M18" s="9">
        <f>IF(C18&gt;0,J18/C18*1000,"")</f>
        <v>6.920002386207719</v>
      </c>
      <c r="N18" s="9">
        <f>IF(C18&gt;0,K18/C18*1000,"")</f>
        <v>6.9398874505359025</v>
      </c>
      <c r="O18" s="10">
        <f>IF(OR(M18="",N18=""),"",N18-M18)</f>
        <v>0.019885064328183155</v>
      </c>
      <c r="P18" s="7">
        <v>51</v>
      </c>
      <c r="Q18" s="7">
        <v>51</v>
      </c>
      <c r="R18" s="7">
        <v>16</v>
      </c>
      <c r="S18" s="7">
        <v>17</v>
      </c>
      <c r="T18" s="8">
        <f>R18-S18</f>
        <v>-1</v>
      </c>
      <c r="U18" s="7">
        <v>0</v>
      </c>
      <c r="V18" s="7">
        <v>0</v>
      </c>
    </row>
    <row r="19" spans="1:22" x14ac:dyDescent="0.25">
      <c r="A19" s="6">
        <v>11</v>
      </c>
      <c r="B19" s="6" t="s">
        <v>102</v>
      </c>
      <c r="C19" s="7">
        <v>20473</v>
      </c>
      <c r="D19" s="7">
        <v>176</v>
      </c>
      <c r="E19" s="7">
        <v>176</v>
      </c>
      <c r="F19" s="8">
        <f>E19-D19</f>
        <v>0</v>
      </c>
      <c r="G19" s="7">
        <v>43</v>
      </c>
      <c r="H19" s="7">
        <v>43</v>
      </c>
      <c r="I19" s="8">
        <f>H19-G19</f>
        <v>0</v>
      </c>
      <c r="J19" s="7">
        <v>133</v>
      </c>
      <c r="K19" s="7">
        <v>133</v>
      </c>
      <c r="L19" s="8">
        <f>K19-J19</f>
        <v>0</v>
      </c>
      <c r="M19" s="9">
        <f>IF(C19&gt;0,J19/C19*1000,"")</f>
        <v>6.496361060909491</v>
      </c>
      <c r="N19" s="9">
        <f>IF(C19&gt;0,K19/C19*1000,"")</f>
        <v>6.496361060909491</v>
      </c>
      <c r="O19" s="10">
        <f>IF(OR(M19="",N19=""),"",N19-M19)</f>
        <v>0</v>
      </c>
      <c r="P19" s="7">
        <v>97</v>
      </c>
      <c r="Q19" s="7">
        <v>97</v>
      </c>
      <c r="R19" s="7">
        <v>18</v>
      </c>
      <c r="S19" s="7">
        <v>18</v>
      </c>
      <c r="T19" s="8">
        <f>R19-S19</f>
        <v>0</v>
      </c>
      <c r="U19" s="7">
        <v>11</v>
      </c>
      <c r="V19" s="7">
        <v>8</v>
      </c>
    </row>
    <row r="20" spans="1:22" x14ac:dyDescent="0.25">
      <c r="A20" s="6">
        <v>36</v>
      </c>
      <c r="B20" s="6" t="s">
        <v>107</v>
      </c>
      <c r="C20" s="7">
        <v>20764</v>
      </c>
      <c r="D20" s="7">
        <v>234</v>
      </c>
      <c r="E20" s="7">
        <v>234</v>
      </c>
      <c r="F20" s="8">
        <f>E20-D20</f>
        <v>0</v>
      </c>
      <c r="G20" s="7">
        <v>103</v>
      </c>
      <c r="H20" s="7">
        <v>103</v>
      </c>
      <c r="I20" s="8">
        <f>H20-G20</f>
        <v>0</v>
      </c>
      <c r="J20" s="7">
        <v>131</v>
      </c>
      <c r="K20" s="7">
        <v>131</v>
      </c>
      <c r="L20" s="8">
        <f>K20-J20</f>
        <v>0</v>
      </c>
      <c r="M20" s="9">
        <f>IF(C20&gt;0,J20/C20*1000,"")</f>
        <v>6.3089963398189175</v>
      </c>
      <c r="N20" s="9">
        <f>IF(C20&gt;0,K20/C20*1000,"")</f>
        <v>6.3089963398189175</v>
      </c>
      <c r="O20" s="10">
        <f>IF(OR(M20="",N20=""),"",N20-M20)</f>
        <v>0</v>
      </c>
      <c r="P20" s="7">
        <v>127</v>
      </c>
      <c r="Q20" s="7">
        <v>127</v>
      </c>
      <c r="R20" s="7">
        <v>19</v>
      </c>
      <c r="S20" s="7">
        <v>19</v>
      </c>
      <c r="T20" s="8">
        <f>R20-S20</f>
        <v>0</v>
      </c>
      <c r="U20" s="7">
        <v>2</v>
      </c>
      <c r="V20" s="7">
        <v>2</v>
      </c>
    </row>
    <row r="21" spans="1:22" x14ac:dyDescent="0.25">
      <c r="A21" s="6">
        <v>22</v>
      </c>
      <c r="B21" s="6" t="s">
        <v>92</v>
      </c>
      <c r="C21" s="7">
        <v>14305</v>
      </c>
      <c r="D21" s="7">
        <v>93</v>
      </c>
      <c r="E21" s="7">
        <v>93</v>
      </c>
      <c r="F21" s="8">
        <f>E21-D21</f>
        <v>0</v>
      </c>
      <c r="G21" s="7">
        <v>7</v>
      </c>
      <c r="H21" s="7">
        <v>7</v>
      </c>
      <c r="I21" s="8">
        <f>H21-G21</f>
        <v>0</v>
      </c>
      <c r="J21" s="7">
        <v>86</v>
      </c>
      <c r="K21" s="7">
        <v>86</v>
      </c>
      <c r="L21" s="8">
        <f>K21-J21</f>
        <v>0</v>
      </c>
      <c r="M21" s="9">
        <f>IF(C21&gt;0,J21/C21*1000,"")</f>
        <v>6.011883956658511</v>
      </c>
      <c r="N21" s="9">
        <f>IF(C21&gt;0,K21/C21*1000,"")</f>
        <v>6.011883956658511</v>
      </c>
      <c r="O21" s="10">
        <f>IF(OR(M21="",N21=""),"",N21-M21)</f>
        <v>0</v>
      </c>
      <c r="P21" s="7">
        <v>19</v>
      </c>
      <c r="Q21" s="7">
        <v>19</v>
      </c>
      <c r="R21" s="7">
        <v>20</v>
      </c>
      <c r="S21" s="7">
        <v>20</v>
      </c>
      <c r="T21" s="8">
        <f>R21-S21</f>
        <v>0</v>
      </c>
      <c r="U21" s="7">
        <v>10</v>
      </c>
      <c r="V21" s="7">
        <v>10</v>
      </c>
    </row>
    <row r="22" spans="1:22" x14ac:dyDescent="0.25">
      <c r="A22" s="6">
        <v>33</v>
      </c>
      <c r="B22" s="6" t="s">
        <v>110</v>
      </c>
      <c r="C22" s="7">
        <v>21804</v>
      </c>
      <c r="D22" s="7">
        <v>179</v>
      </c>
      <c r="E22" s="7">
        <v>179</v>
      </c>
      <c r="F22" s="8">
        <f>E22-D22</f>
        <v>0</v>
      </c>
      <c r="G22" s="7">
        <v>52</v>
      </c>
      <c r="H22" s="7">
        <v>50</v>
      </c>
      <c r="I22" s="8">
        <f>H22-G22</f>
        <v>-2</v>
      </c>
      <c r="J22" s="7">
        <v>127</v>
      </c>
      <c r="K22" s="7">
        <v>129</v>
      </c>
      <c r="L22" s="8">
        <f>K22-J22</f>
        <v>2</v>
      </c>
      <c r="M22" s="9">
        <f>IF(C22&gt;0,J22/C22*1000,"")</f>
        <v>5.82461933590167</v>
      </c>
      <c r="N22" s="9">
        <f>IF(C22&gt;0,K22/C22*1000,"")</f>
        <v>5.916345624656026</v>
      </c>
      <c r="O22" s="10">
        <f>IF(OR(M22="",N22=""),"",N22-M22)</f>
        <v>0.09172628875435596</v>
      </c>
      <c r="P22" s="7">
        <v>90</v>
      </c>
      <c r="Q22" s="7">
        <v>90</v>
      </c>
      <c r="R22" s="7">
        <v>21</v>
      </c>
      <c r="S22" s="7">
        <v>21</v>
      </c>
      <c r="T22" s="8">
        <f>R22-S22</f>
        <v>0</v>
      </c>
      <c r="U22" s="7">
        <v>1</v>
      </c>
      <c r="V22" s="7">
        <v>1</v>
      </c>
    </row>
    <row r="23" spans="1:22" x14ac:dyDescent="0.25">
      <c r="A23" s="6">
        <v>4</v>
      </c>
      <c r="B23" s="6" t="s">
        <v>98</v>
      </c>
      <c r="C23" s="7">
        <v>39515</v>
      </c>
      <c r="D23" s="7">
        <v>232</v>
      </c>
      <c r="E23" s="7">
        <v>232</v>
      </c>
      <c r="F23" s="8">
        <f>E23-D23</f>
        <v>0</v>
      </c>
      <c r="G23" s="7">
        <v>7</v>
      </c>
      <c r="H23" s="7">
        <v>7</v>
      </c>
      <c r="I23" s="8">
        <f>H23-G23</f>
        <v>0</v>
      </c>
      <c r="J23" s="7">
        <v>225</v>
      </c>
      <c r="K23" s="7">
        <v>225</v>
      </c>
      <c r="L23" s="8">
        <f>K23-J23</f>
        <v>0</v>
      </c>
      <c r="M23" s="9">
        <f>IF(C23&gt;0,J23/C23*1000,"")</f>
        <v>5.694040237884348</v>
      </c>
      <c r="N23" s="9">
        <f>IF(C23&gt;0,K23/C23*1000,"")</f>
        <v>5.694040237884348</v>
      </c>
      <c r="O23" s="10">
        <f>IF(OR(M23="",N23=""),"",N23-M23)</f>
        <v>0</v>
      </c>
      <c r="P23" s="7">
        <v>58</v>
      </c>
      <c r="Q23" s="7">
        <v>58</v>
      </c>
      <c r="R23" s="7">
        <v>22</v>
      </c>
      <c r="S23" s="7">
        <v>22</v>
      </c>
      <c r="T23" s="8">
        <f>R23-S23</f>
        <v>0</v>
      </c>
      <c r="U23" s="7">
        <v>4</v>
      </c>
      <c r="V23" s="7">
        <v>4</v>
      </c>
    </row>
    <row r="24" spans="1:22" x14ac:dyDescent="0.25">
      <c r="A24" s="6">
        <v>40</v>
      </c>
      <c r="B24" s="6" t="s">
        <v>97</v>
      </c>
      <c r="C24" s="7">
        <v>25591</v>
      </c>
      <c r="D24" s="7">
        <v>205</v>
      </c>
      <c r="E24" s="7">
        <v>205</v>
      </c>
      <c r="F24" s="8">
        <f>E24-D24</f>
        <v>0</v>
      </c>
      <c r="G24" s="7">
        <v>62</v>
      </c>
      <c r="H24" s="7">
        <v>62</v>
      </c>
      <c r="I24" s="8">
        <f>H24-G24</f>
        <v>0</v>
      </c>
      <c r="J24" s="7">
        <v>143</v>
      </c>
      <c r="K24" s="7">
        <v>143</v>
      </c>
      <c r="L24" s="8">
        <f>K24-J24</f>
        <v>0</v>
      </c>
      <c r="M24" s="9">
        <f>IF(C24&gt;0,J24/C24*1000,"")</f>
        <v>5.587901996795749</v>
      </c>
      <c r="N24" s="9">
        <f>IF(C24&gt;0,K24/C24*1000,"")</f>
        <v>5.587901996795749</v>
      </c>
      <c r="O24" s="10">
        <f>IF(OR(M24="",N24=""),"",N24-M24)</f>
        <v>0</v>
      </c>
      <c r="P24" s="7">
        <v>109</v>
      </c>
      <c r="Q24" s="7">
        <v>109</v>
      </c>
      <c r="R24" s="7">
        <v>23</v>
      </c>
      <c r="S24" s="7">
        <v>23</v>
      </c>
      <c r="T24" s="8">
        <f>R24-S24</f>
        <v>0</v>
      </c>
      <c r="U24" s="7">
        <v>0</v>
      </c>
      <c r="V24" s="7">
        <v>0</v>
      </c>
    </row>
    <row r="25" spans="1:22" x14ac:dyDescent="0.25">
      <c r="A25" s="6">
        <v>10</v>
      </c>
      <c r="B25" s="6" t="s">
        <v>130</v>
      </c>
      <c r="C25" s="7">
        <v>17638</v>
      </c>
      <c r="D25" s="7">
        <v>89</v>
      </c>
      <c r="E25" s="7">
        <v>89</v>
      </c>
      <c r="F25" s="8">
        <f>E25-D25</f>
        <v>0</v>
      </c>
      <c r="G25" s="7">
        <v>13</v>
      </c>
      <c r="H25" s="7">
        <v>10</v>
      </c>
      <c r="I25" s="8">
        <f>H25-G25</f>
        <v>-3</v>
      </c>
      <c r="J25" s="7">
        <v>76</v>
      </c>
      <c r="K25" s="7">
        <v>79</v>
      </c>
      <c r="L25" s="8">
        <f>K25-J25</f>
        <v>3</v>
      </c>
      <c r="M25" s="9">
        <f>IF(C25&gt;0,J25/C25*1000,"")</f>
        <v>4.3088785576595985</v>
      </c>
      <c r="N25" s="9">
        <f>IF(C25&gt;0,K25/C25*1000,"")</f>
        <v>4.478965869146162</v>
      </c>
      <c r="O25" s="10">
        <f>IF(OR(M25="",N25=""),"",N25-M25)</f>
        <v>0.1700873114865633</v>
      </c>
      <c r="P25" s="7">
        <v>12</v>
      </c>
      <c r="Q25" s="7">
        <v>11</v>
      </c>
      <c r="R25" s="7">
        <v>24</v>
      </c>
      <c r="S25" s="7">
        <v>24</v>
      </c>
      <c r="T25" s="8">
        <f>R25-S25</f>
        <v>0</v>
      </c>
      <c r="U25" s="7">
        <v>26</v>
      </c>
      <c r="V25" s="7">
        <v>26</v>
      </c>
    </row>
    <row r="26" spans="1:22" x14ac:dyDescent="0.25">
      <c r="A26" s="6">
        <v>35</v>
      </c>
      <c r="B26" s="6" t="s">
        <v>109</v>
      </c>
      <c r="C26" s="7">
        <v>23394</v>
      </c>
      <c r="D26" s="7">
        <v>169</v>
      </c>
      <c r="E26" s="7">
        <v>169</v>
      </c>
      <c r="F26" s="8">
        <f>E26-D26</f>
        <v>0</v>
      </c>
      <c r="G26" s="7">
        <v>69</v>
      </c>
      <c r="H26" s="7">
        <v>69</v>
      </c>
      <c r="I26" s="8">
        <f>H26-G26</f>
        <v>0</v>
      </c>
      <c r="J26" s="7">
        <v>100</v>
      </c>
      <c r="K26" s="7">
        <v>100</v>
      </c>
      <c r="L26" s="8">
        <f>K26-J26</f>
        <v>0</v>
      </c>
      <c r="M26" s="9">
        <f>IF(C26&gt;0,J26/C26*1000,"")</f>
        <v>4.274600324869625</v>
      </c>
      <c r="N26" s="9">
        <f>IF(C26&gt;0,K26/C26*1000,"")</f>
        <v>4.274600324869625</v>
      </c>
      <c r="O26" s="10">
        <f>IF(OR(M26="",N26=""),"",N26-M26)</f>
        <v>0</v>
      </c>
      <c r="P26" s="7">
        <v>123</v>
      </c>
      <c r="Q26" s="7">
        <v>123</v>
      </c>
      <c r="R26" s="7">
        <v>25</v>
      </c>
      <c r="S26" s="7">
        <v>25</v>
      </c>
      <c r="T26" s="8">
        <f>R26-S26</f>
        <v>0</v>
      </c>
      <c r="U26" s="7">
        <v>3</v>
      </c>
      <c r="V26" s="7">
        <v>3</v>
      </c>
    </row>
    <row r="27" spans="1:22" x14ac:dyDescent="0.25">
      <c r="A27" s="6">
        <v>30</v>
      </c>
      <c r="B27" s="6" t="s">
        <v>127</v>
      </c>
      <c r="C27" s="7">
        <v>19725</v>
      </c>
      <c r="D27" s="7">
        <v>117</v>
      </c>
      <c r="E27" s="7">
        <v>117</v>
      </c>
      <c r="F27" s="8">
        <f>E27-D27</f>
        <v>0</v>
      </c>
      <c r="G27" s="7">
        <v>36</v>
      </c>
      <c r="H27" s="7">
        <v>36</v>
      </c>
      <c r="I27" s="8">
        <f>H27-G27</f>
        <v>0</v>
      </c>
      <c r="J27" s="7">
        <v>81</v>
      </c>
      <c r="K27" s="7">
        <v>81</v>
      </c>
      <c r="L27" s="8">
        <f>K27-J27</f>
        <v>0</v>
      </c>
      <c r="M27" s="9">
        <f>IF(C27&gt;0,J27/C27*1000,"")</f>
        <v>4.106463878326997</v>
      </c>
      <c r="N27" s="9">
        <f>IF(C27&gt;0,K27/C27*1000,"")</f>
        <v>4.106463878326997</v>
      </c>
      <c r="O27" s="10">
        <f>IF(OR(M27="",N27=""),"",N27-M27)</f>
        <v>0</v>
      </c>
      <c r="P27" s="7">
        <v>56</v>
      </c>
      <c r="Q27" s="7">
        <v>56</v>
      </c>
      <c r="R27" s="7">
        <v>26</v>
      </c>
      <c r="S27" s="7">
        <v>26</v>
      </c>
      <c r="T27" s="8">
        <f>R27-S27</f>
        <v>0</v>
      </c>
      <c r="U27" s="7">
        <v>2</v>
      </c>
      <c r="V27" s="7">
        <v>2</v>
      </c>
    </row>
    <row r="28" spans="1:22" x14ac:dyDescent="0.25">
      <c r="A28" s="6">
        <v>37</v>
      </c>
      <c r="B28" s="6" t="s">
        <v>104</v>
      </c>
      <c r="C28" s="7">
        <v>18601</v>
      </c>
      <c r="D28" s="7">
        <v>89</v>
      </c>
      <c r="E28" s="7">
        <v>89</v>
      </c>
      <c r="F28" s="8">
        <f>E28-D28</f>
        <v>0</v>
      </c>
      <c r="G28" s="7">
        <v>14</v>
      </c>
      <c r="H28" s="7">
        <v>14</v>
      </c>
      <c r="I28" s="8">
        <f>H28-G28</f>
        <v>0</v>
      </c>
      <c r="J28" s="7">
        <v>75</v>
      </c>
      <c r="K28" s="7">
        <v>75</v>
      </c>
      <c r="L28" s="8">
        <f>K28-J28</f>
        <v>0</v>
      </c>
      <c r="M28" s="9">
        <f>IF(C28&gt;0,J28/C28*1000,"")</f>
        <v>4.03204128810279</v>
      </c>
      <c r="N28" s="9">
        <f>IF(C28&gt;0,K28/C28*1000,"")</f>
        <v>4.03204128810279</v>
      </c>
      <c r="O28" s="10">
        <f>IF(OR(M28="",N28=""),"",N28-M28)</f>
        <v>0</v>
      </c>
      <c r="P28" s="7">
        <v>74</v>
      </c>
      <c r="Q28" s="7">
        <v>74</v>
      </c>
      <c r="R28" s="7">
        <v>27</v>
      </c>
      <c r="S28" s="7">
        <v>27</v>
      </c>
      <c r="T28" s="8">
        <f>R28-S28</f>
        <v>0</v>
      </c>
      <c r="U28" s="7">
        <v>22</v>
      </c>
      <c r="V28" s="7">
        <v>20</v>
      </c>
    </row>
    <row r="29" spans="1:22" x14ac:dyDescent="0.25">
      <c r="A29" s="6">
        <v>50</v>
      </c>
      <c r="B29" s="6" t="s">
        <v>118</v>
      </c>
      <c r="C29" s="7">
        <v>19909</v>
      </c>
      <c r="D29" s="7">
        <v>87</v>
      </c>
      <c r="E29" s="7">
        <v>87</v>
      </c>
      <c r="F29" s="8">
        <f>E29-D29</f>
        <v>0</v>
      </c>
      <c r="G29" s="7">
        <v>17</v>
      </c>
      <c r="H29" s="7">
        <v>12</v>
      </c>
      <c r="I29" s="8">
        <f>H29-G29</f>
        <v>-5</v>
      </c>
      <c r="J29" s="7">
        <v>70</v>
      </c>
      <c r="K29" s="7">
        <v>75</v>
      </c>
      <c r="L29" s="8">
        <f>K29-J29</f>
        <v>5</v>
      </c>
      <c r="M29" s="9">
        <f>IF(C29&gt;0,J29/C29*1000,"")</f>
        <v>3.515997789944246</v>
      </c>
      <c r="N29" s="9">
        <f>IF(C29&gt;0,K29/C29*1000,"")</f>
        <v>3.7671404892259783</v>
      </c>
      <c r="O29" s="10">
        <f>IF(OR(M29="",N29=""),"",N29-M29)</f>
        <v>0.2511426992817323</v>
      </c>
      <c r="P29" s="7">
        <v>36</v>
      </c>
      <c r="Q29" s="7">
        <v>36</v>
      </c>
      <c r="R29" s="7">
        <v>28</v>
      </c>
      <c r="S29" s="7">
        <v>28</v>
      </c>
      <c r="T29" s="8">
        <f>R29-S29</f>
        <v>0</v>
      </c>
      <c r="U29" s="7">
        <v>0</v>
      </c>
      <c r="V29" s="7">
        <v>0</v>
      </c>
    </row>
    <row r="30" spans="1:22" x14ac:dyDescent="0.25">
      <c r="A30" s="6">
        <v>8</v>
      </c>
      <c r="B30" s="6" t="s">
        <v>120</v>
      </c>
      <c r="C30" s="7">
        <v>27536</v>
      </c>
      <c r="D30" s="7">
        <v>81</v>
      </c>
      <c r="E30" s="7">
        <v>81</v>
      </c>
      <c r="F30" s="8">
        <f>E30-D30</f>
        <v>0</v>
      </c>
      <c r="G30" s="7">
        <v>5</v>
      </c>
      <c r="H30" s="7">
        <v>5</v>
      </c>
      <c r="I30" s="8">
        <f>H30-G30</f>
        <v>0</v>
      </c>
      <c r="J30" s="7">
        <v>76</v>
      </c>
      <c r="K30" s="7">
        <v>76</v>
      </c>
      <c r="L30" s="8">
        <f>K30-J30</f>
        <v>0</v>
      </c>
      <c r="M30" s="9">
        <f>IF(C30&gt;0,J30/C30*1000,"")</f>
        <v>2.7600232423009876</v>
      </c>
      <c r="N30" s="9">
        <f>IF(C30&gt;0,K30/C30*1000,"")</f>
        <v>2.7600232423009876</v>
      </c>
      <c r="O30" s="10">
        <f>IF(OR(M30="",N30=""),"",N30-M30)</f>
        <v>0</v>
      </c>
      <c r="P30" s="7">
        <v>9</v>
      </c>
      <c r="Q30" s="7">
        <v>9</v>
      </c>
      <c r="R30" s="7">
        <v>29</v>
      </c>
      <c r="S30" s="7">
        <v>29</v>
      </c>
      <c r="T30" s="8">
        <f>R30-S30</f>
        <v>0</v>
      </c>
      <c r="U30" s="7">
        <v>25</v>
      </c>
      <c r="V30" s="7">
        <v>25</v>
      </c>
    </row>
    <row r="31" spans="1:22" x14ac:dyDescent="0.25">
      <c r="A31" s="6">
        <v>6</v>
      </c>
      <c r="B31" s="6" t="s">
        <v>99</v>
      </c>
      <c r="C31" s="7">
        <v>28363</v>
      </c>
      <c r="D31" s="7">
        <v>86</v>
      </c>
      <c r="E31" s="7">
        <v>86</v>
      </c>
      <c r="F31" s="8">
        <f>E31-D31</f>
        <v>0</v>
      </c>
      <c r="G31" s="7">
        <v>12</v>
      </c>
      <c r="H31" s="7">
        <v>12</v>
      </c>
      <c r="I31" s="8">
        <f>H31-G31</f>
        <v>0</v>
      </c>
      <c r="J31" s="7">
        <v>74</v>
      </c>
      <c r="K31" s="7">
        <v>74</v>
      </c>
      <c r="L31" s="8">
        <f>K31-J31</f>
        <v>0</v>
      </c>
      <c r="M31" s="9">
        <f>IF(C31&gt;0,J31/C31*1000,"")</f>
        <v>2.6090328949687973</v>
      </c>
      <c r="N31" s="9">
        <f>IF(C31&gt;0,K31/C31*1000,"")</f>
        <v>2.6090328949687973</v>
      </c>
      <c r="O31" s="10">
        <f>IF(OR(M31="",N31=""),"",N31-M31)</f>
        <v>0</v>
      </c>
      <c r="P31" s="7">
        <v>35</v>
      </c>
      <c r="Q31" s="7">
        <v>35</v>
      </c>
      <c r="R31" s="7">
        <v>30</v>
      </c>
      <c r="S31" s="7">
        <v>30</v>
      </c>
      <c r="T31" s="8">
        <f>R31-S31</f>
        <v>0</v>
      </c>
      <c r="U31" s="7">
        <v>37</v>
      </c>
      <c r="V31" s="7">
        <v>32</v>
      </c>
    </row>
    <row r="32" spans="1:22" x14ac:dyDescent="0.25">
      <c r="A32" s="6">
        <v>12</v>
      </c>
      <c r="B32" s="6" t="s">
        <v>101</v>
      </c>
      <c r="C32" s="7">
        <v>15697</v>
      </c>
      <c r="D32" s="7">
        <v>70</v>
      </c>
      <c r="E32" s="7">
        <v>70</v>
      </c>
      <c r="F32" s="8">
        <f>E32-D32</f>
        <v>0</v>
      </c>
      <c r="G32" s="7">
        <v>30</v>
      </c>
      <c r="H32" s="7">
        <v>30</v>
      </c>
      <c r="I32" s="8">
        <f>H32-G32</f>
        <v>0</v>
      </c>
      <c r="J32" s="7">
        <v>40</v>
      </c>
      <c r="K32" s="7">
        <v>40</v>
      </c>
      <c r="L32" s="8">
        <f>K32-J32</f>
        <v>0</v>
      </c>
      <c r="M32" s="9">
        <f>IF(C32&gt;0,J32/C32*1000,"")</f>
        <v>2.5482576288462764</v>
      </c>
      <c r="N32" s="9">
        <f>IF(C32&gt;0,K32/C32*1000,"")</f>
        <v>2.5482576288462764</v>
      </c>
      <c r="O32" s="10">
        <f>IF(OR(M32="",N32=""),"",N32-M32)</f>
        <v>0</v>
      </c>
      <c r="P32" s="7">
        <v>52</v>
      </c>
      <c r="Q32" s="7">
        <v>52</v>
      </c>
      <c r="R32" s="7">
        <v>31</v>
      </c>
      <c r="S32" s="7">
        <v>31</v>
      </c>
      <c r="T32" s="8">
        <f>R32-S32</f>
        <v>0</v>
      </c>
      <c r="U32" s="7">
        <v>0</v>
      </c>
      <c r="V32" s="7">
        <v>0</v>
      </c>
    </row>
    <row r="33" spans="1:22" x14ac:dyDescent="0.25">
      <c r="A33" s="6">
        <v>29</v>
      </c>
      <c r="B33" s="6" t="s">
        <v>121</v>
      </c>
      <c r="C33" s="7">
        <v>21072</v>
      </c>
      <c r="D33" s="7">
        <v>58</v>
      </c>
      <c r="E33" s="7">
        <v>58</v>
      </c>
      <c r="F33" s="8">
        <f>E33-D33</f>
        <v>0</v>
      </c>
      <c r="G33" s="7">
        <v>7</v>
      </c>
      <c r="H33" s="7">
        <v>6</v>
      </c>
      <c r="I33" s="8">
        <f>H33-G33</f>
        <v>-1</v>
      </c>
      <c r="J33" s="7">
        <v>51</v>
      </c>
      <c r="K33" s="7">
        <v>52</v>
      </c>
      <c r="L33" s="8">
        <f>K33-J33</f>
        <v>1</v>
      </c>
      <c r="M33" s="9">
        <f>IF(C33&gt;0,J33/C33*1000,"")</f>
        <v>2.420273348519362</v>
      </c>
      <c r="N33" s="9">
        <f>IF(C33&gt;0,K33/C33*1000,"")</f>
        <v>2.467729688686408</v>
      </c>
      <c r="O33" s="10">
        <f>IF(OR(M33="",N33=""),"",N33-M33)</f>
        <v>0.04745634016704603</v>
      </c>
      <c r="P33" s="7">
        <v>36</v>
      </c>
      <c r="Q33" s="7">
        <v>36</v>
      </c>
      <c r="R33" s="7">
        <v>33</v>
      </c>
      <c r="S33" s="7">
        <v>32</v>
      </c>
      <c r="T33" s="8">
        <f>R33-S33</f>
        <v>1</v>
      </c>
      <c r="U33" s="7">
        <v>10</v>
      </c>
      <c r="V33" s="7">
        <v>10</v>
      </c>
    </row>
    <row r="34" spans="1:22" x14ac:dyDescent="0.25">
      <c r="A34" s="6">
        <v>16</v>
      </c>
      <c r="B34" s="6" t="s">
        <v>114</v>
      </c>
      <c r="C34" s="7">
        <v>20208</v>
      </c>
      <c r="D34" s="7">
        <v>72</v>
      </c>
      <c r="E34" s="7">
        <v>72</v>
      </c>
      <c r="F34" s="8">
        <f>E34-D34</f>
        <v>0</v>
      </c>
      <c r="G34" s="7">
        <v>23</v>
      </c>
      <c r="H34" s="7">
        <v>23</v>
      </c>
      <c r="I34" s="8">
        <f>H34-G34</f>
        <v>0</v>
      </c>
      <c r="J34" s="7">
        <v>49</v>
      </c>
      <c r="K34" s="7">
        <v>49</v>
      </c>
      <c r="L34" s="8">
        <f>K34-J34</f>
        <v>0</v>
      </c>
      <c r="M34" s="9">
        <f>IF(C34&gt;0,J34/C34*1000,"")</f>
        <v>2.424782264449723</v>
      </c>
      <c r="N34" s="9">
        <f>IF(C34&gt;0,K34/C34*1000,"")</f>
        <v>2.424782264449723</v>
      </c>
      <c r="O34" s="10">
        <f>IF(OR(M34="",N34=""),"",N34-M34)</f>
        <v>0</v>
      </c>
      <c r="P34" s="7">
        <v>36</v>
      </c>
      <c r="Q34" s="7">
        <v>36</v>
      </c>
      <c r="R34" s="7">
        <v>32</v>
      </c>
      <c r="S34" s="7">
        <v>33</v>
      </c>
      <c r="T34" s="8">
        <f>R34-S34</f>
        <v>-1</v>
      </c>
      <c r="U34" s="7">
        <v>145</v>
      </c>
      <c r="V34" s="7">
        <v>145</v>
      </c>
    </row>
    <row r="35" spans="1:22" x14ac:dyDescent="0.25">
      <c r="A35" s="6">
        <v>38</v>
      </c>
      <c r="B35" s="6" t="s">
        <v>112</v>
      </c>
      <c r="C35" s="7">
        <v>21982</v>
      </c>
      <c r="D35" s="7">
        <v>59</v>
      </c>
      <c r="E35" s="7">
        <v>59</v>
      </c>
      <c r="F35" s="8">
        <f>E35-D35</f>
        <v>0</v>
      </c>
      <c r="G35" s="7">
        <v>21</v>
      </c>
      <c r="H35" s="7">
        <v>16</v>
      </c>
      <c r="I35" s="8">
        <f>H35-G35</f>
        <v>-5</v>
      </c>
      <c r="J35" s="7">
        <v>38</v>
      </c>
      <c r="K35" s="7">
        <v>43</v>
      </c>
      <c r="L35" s="8">
        <f>K35-J35</f>
        <v>5</v>
      </c>
      <c r="M35" s="9">
        <f>IF(C35&gt;0,J35/C35*1000,"")</f>
        <v>1.7286871076335184</v>
      </c>
      <c r="N35" s="9">
        <f>IF(C35&gt;0,K35/C35*1000,"")</f>
        <v>1.956145937585297</v>
      </c>
      <c r="O35" s="10">
        <f>IF(OR(M35="",N35=""),"",N35-M35)</f>
        <v>0.22745882995177857</v>
      </c>
      <c r="P35" s="7">
        <v>26</v>
      </c>
      <c r="Q35" s="7">
        <v>26</v>
      </c>
      <c r="R35" s="7">
        <v>34</v>
      </c>
      <c r="S35" s="7">
        <v>34</v>
      </c>
      <c r="T35" s="8">
        <f>R35-S35</f>
        <v>0</v>
      </c>
      <c r="U35" s="7">
        <v>0</v>
      </c>
      <c r="V35" s="7">
        <v>0</v>
      </c>
    </row>
    <row r="36" spans="1:22" x14ac:dyDescent="0.25">
      <c r="A36" s="6">
        <v>7</v>
      </c>
      <c r="B36" s="6" t="s">
        <v>117</v>
      </c>
      <c r="C36" s="7">
        <v>28483</v>
      </c>
      <c r="D36" s="7">
        <v>62</v>
      </c>
      <c r="E36" s="7">
        <v>62</v>
      </c>
      <c r="F36" s="8">
        <f>E36-D36</f>
        <v>0</v>
      </c>
      <c r="G36" s="7">
        <v>13</v>
      </c>
      <c r="H36" s="7">
        <v>13</v>
      </c>
      <c r="I36" s="8">
        <f>H36-G36</f>
        <v>0</v>
      </c>
      <c r="J36" s="7">
        <v>49</v>
      </c>
      <c r="K36" s="7">
        <v>49</v>
      </c>
      <c r="L36" s="8">
        <f>K36-J36</f>
        <v>0</v>
      </c>
      <c r="M36" s="9">
        <f>IF(C36&gt;0,J36/C36*1000,"")</f>
        <v>1.7203244040304744</v>
      </c>
      <c r="N36" s="9">
        <f>IF(C36&gt;0,K36/C36*1000,"")</f>
        <v>1.7203244040304744</v>
      </c>
      <c r="O36" s="10">
        <f>IF(OR(M36="",N36=""),"",N36-M36)</f>
        <v>0</v>
      </c>
      <c r="P36" s="7">
        <v>16</v>
      </c>
      <c r="Q36" s="7">
        <v>16</v>
      </c>
      <c r="R36" s="7">
        <v>35</v>
      </c>
      <c r="S36" s="7">
        <v>35</v>
      </c>
      <c r="T36" s="8">
        <f>R36-S36</f>
        <v>0</v>
      </c>
      <c r="U36" s="7">
        <v>42</v>
      </c>
      <c r="V36" s="7">
        <v>42</v>
      </c>
    </row>
    <row r="37" spans="1:22" x14ac:dyDescent="0.25">
      <c r="A37" s="6">
        <v>14</v>
      </c>
      <c r="B37" s="6" t="s">
        <v>103</v>
      </c>
      <c r="C37" s="7">
        <v>13682</v>
      </c>
      <c r="D37" s="7">
        <v>28</v>
      </c>
      <c r="E37" s="7">
        <v>28</v>
      </c>
      <c r="F37" s="8">
        <f>E37-D37</f>
        <v>0</v>
      </c>
      <c r="G37" s="7">
        <v>6</v>
      </c>
      <c r="H37" s="7">
        <v>6</v>
      </c>
      <c r="I37" s="8">
        <f>H37-G37</f>
        <v>0</v>
      </c>
      <c r="J37" s="7">
        <v>22</v>
      </c>
      <c r="K37" s="7">
        <v>22</v>
      </c>
      <c r="L37" s="8">
        <f>K37-J37</f>
        <v>0</v>
      </c>
      <c r="M37" s="9">
        <f>IF(C37&gt;0,J37/C37*1000,"")</f>
        <v>1.607952053793305</v>
      </c>
      <c r="N37" s="9">
        <f>IF(C37&gt;0,K37/C37*1000,"")</f>
        <v>1.607952053793305</v>
      </c>
      <c r="O37" s="10">
        <f>IF(OR(M37="",N37=""),"",N37-M37)</f>
        <v>0</v>
      </c>
      <c r="P37" s="7">
        <v>14</v>
      </c>
      <c r="Q37" s="7">
        <v>14</v>
      </c>
      <c r="R37" s="7">
        <v>36</v>
      </c>
      <c r="S37" s="7">
        <v>36</v>
      </c>
      <c r="T37" s="8">
        <f>R37-S37</f>
        <v>0</v>
      </c>
      <c r="U37" s="7">
        <v>0</v>
      </c>
      <c r="V37" s="7">
        <v>0</v>
      </c>
    </row>
    <row r="38" spans="1:22" x14ac:dyDescent="0.25">
      <c r="A38" s="6">
        <v>49</v>
      </c>
      <c r="B38" s="6" t="s">
        <v>125</v>
      </c>
      <c r="C38" s="7">
        <v>30084</v>
      </c>
      <c r="D38" s="7">
        <v>51</v>
      </c>
      <c r="E38" s="7">
        <v>51</v>
      </c>
      <c r="F38" s="8">
        <f>E38-D38</f>
        <v>0</v>
      </c>
      <c r="G38" s="7">
        <v>3</v>
      </c>
      <c r="H38" s="7">
        <v>3</v>
      </c>
      <c r="I38" s="8">
        <f>H38-G38</f>
        <v>0</v>
      </c>
      <c r="J38" s="7">
        <v>48</v>
      </c>
      <c r="K38" s="7">
        <v>48</v>
      </c>
      <c r="L38" s="8">
        <f>K38-J38</f>
        <v>0</v>
      </c>
      <c r="M38" s="9">
        <f>IF(C38&gt;0,J38/C38*1000,"")</f>
        <v>1.5955325089748702</v>
      </c>
      <c r="N38" s="9">
        <f>IF(C38&gt;0,K38/C38*1000,"")</f>
        <v>1.5955325089748702</v>
      </c>
      <c r="O38" s="10">
        <f>IF(OR(M38="",N38=""),"",N38-M38)</f>
        <v>0</v>
      </c>
      <c r="P38" s="7">
        <v>12</v>
      </c>
      <c r="Q38" s="7">
        <v>12</v>
      </c>
      <c r="R38" s="7">
        <v>37</v>
      </c>
      <c r="S38" s="7">
        <v>37</v>
      </c>
      <c r="T38" s="8">
        <f>R38-S38</f>
        <v>0</v>
      </c>
      <c r="U38" s="7">
        <v>0</v>
      </c>
      <c r="V38" s="7">
        <v>0</v>
      </c>
    </row>
    <row r="39" spans="1:22" x14ac:dyDescent="0.25">
      <c r="A39" s="6">
        <v>21</v>
      </c>
      <c r="B39" s="6" t="s">
        <v>106</v>
      </c>
      <c r="C39" s="7">
        <v>23270</v>
      </c>
      <c r="D39" s="7">
        <v>49</v>
      </c>
      <c r="E39" s="7">
        <v>49</v>
      </c>
      <c r="F39" s="8">
        <f>E39-D39</f>
        <v>0</v>
      </c>
      <c r="G39" s="7">
        <v>12</v>
      </c>
      <c r="H39" s="7">
        <v>12</v>
      </c>
      <c r="I39" s="8">
        <f>H39-G39</f>
        <v>0</v>
      </c>
      <c r="J39" s="7">
        <v>37</v>
      </c>
      <c r="K39" s="7">
        <v>37</v>
      </c>
      <c r="L39" s="8">
        <f>K39-J39</f>
        <v>0</v>
      </c>
      <c r="M39" s="9">
        <f>IF(C39&gt;0,J39/C39*1000,"")</f>
        <v>1.5900300816501933</v>
      </c>
      <c r="N39" s="9">
        <f>IF(C39&gt;0,K39/C39*1000,"")</f>
        <v>1.5900300816501933</v>
      </c>
      <c r="O39" s="10">
        <f>IF(OR(M39="",N39=""),"",N39-M39)</f>
        <v>0</v>
      </c>
      <c r="P39" s="7">
        <v>38</v>
      </c>
      <c r="Q39" s="7">
        <v>38</v>
      </c>
      <c r="R39" s="7">
        <v>38</v>
      </c>
      <c r="S39" s="7">
        <v>38</v>
      </c>
      <c r="T39" s="8">
        <f>R39-S39</f>
        <v>0</v>
      </c>
      <c r="U39" s="7">
        <v>71</v>
      </c>
      <c r="V39" s="7">
        <v>71</v>
      </c>
    </row>
    <row r="40" spans="1:22" x14ac:dyDescent="0.25">
      <c r="A40" s="6">
        <v>5</v>
      </c>
      <c r="B40" s="6" t="s">
        <v>132</v>
      </c>
      <c r="C40" s="7">
        <v>30778</v>
      </c>
      <c r="D40" s="7">
        <v>58</v>
      </c>
      <c r="E40" s="7">
        <v>58</v>
      </c>
      <c r="F40" s="8">
        <f>E40-D40</f>
        <v>0</v>
      </c>
      <c r="G40" s="7">
        <v>12</v>
      </c>
      <c r="H40" s="7">
        <v>12</v>
      </c>
      <c r="I40" s="8">
        <f>H40-G40</f>
        <v>0</v>
      </c>
      <c r="J40" s="7">
        <v>46</v>
      </c>
      <c r="K40" s="7">
        <v>46</v>
      </c>
      <c r="L40" s="8">
        <f>K40-J40</f>
        <v>0</v>
      </c>
      <c r="M40" s="9">
        <f>IF(C40&gt;0,J40/C40*1000,"")</f>
        <v>1.494574046396777</v>
      </c>
      <c r="N40" s="9">
        <f>IF(C40&gt;0,K40/C40*1000,"")</f>
        <v>1.494574046396777</v>
      </c>
      <c r="O40" s="10">
        <f>IF(OR(M40="",N40=""),"",N40-M40)</f>
        <v>0</v>
      </c>
      <c r="P40" s="7">
        <v>26</v>
      </c>
      <c r="Q40" s="7">
        <v>26</v>
      </c>
      <c r="R40" s="7">
        <v>39</v>
      </c>
      <c r="S40" s="7">
        <v>39</v>
      </c>
      <c r="T40" s="8">
        <f>R40-S40</f>
        <v>0</v>
      </c>
      <c r="U40" s="7">
        <v>6</v>
      </c>
      <c r="V40" s="7">
        <v>6</v>
      </c>
    </row>
    <row r="41" spans="1:22" x14ac:dyDescent="0.25">
      <c r="A41" s="6">
        <v>15</v>
      </c>
      <c r="B41" s="6" t="s">
        <v>105</v>
      </c>
      <c r="C41" s="7">
        <v>15502</v>
      </c>
      <c r="D41" s="7">
        <v>33</v>
      </c>
      <c r="E41" s="7">
        <v>33</v>
      </c>
      <c r="F41" s="8">
        <f>E41-D41</f>
        <v>0</v>
      </c>
      <c r="G41" s="7">
        <v>10</v>
      </c>
      <c r="H41" s="7">
        <v>10</v>
      </c>
      <c r="I41" s="8">
        <f>H41-G41</f>
        <v>0</v>
      </c>
      <c r="J41" s="7">
        <v>23</v>
      </c>
      <c r="K41" s="7">
        <v>23</v>
      </c>
      <c r="L41" s="8">
        <f>K41-J41</f>
        <v>0</v>
      </c>
      <c r="M41" s="9">
        <f>IF(C41&gt;0,J41/C41*1000,"")</f>
        <v>1.483679525222552</v>
      </c>
      <c r="N41" s="9">
        <f>IF(C41&gt;0,K41/C41*1000,"")</f>
        <v>1.483679525222552</v>
      </c>
      <c r="O41" s="10">
        <f>IF(OR(M41="",N41=""),"",N41-M41)</f>
        <v>0</v>
      </c>
      <c r="P41" s="7">
        <v>24</v>
      </c>
      <c r="Q41" s="7">
        <v>24</v>
      </c>
      <c r="R41" s="7">
        <v>40</v>
      </c>
      <c r="S41" s="7">
        <v>40</v>
      </c>
      <c r="T41" s="8">
        <f>R41-S41</f>
        <v>0</v>
      </c>
      <c r="U41" s="7">
        <v>35</v>
      </c>
      <c r="V41" s="7">
        <v>31</v>
      </c>
    </row>
    <row r="42" spans="1:22" x14ac:dyDescent="0.25">
      <c r="A42" s="6">
        <v>45</v>
      </c>
      <c r="B42" s="6" t="s">
        <v>116</v>
      </c>
      <c r="C42" s="7">
        <v>24235</v>
      </c>
      <c r="D42" s="7">
        <v>69</v>
      </c>
      <c r="E42" s="7">
        <v>69</v>
      </c>
      <c r="F42" s="8">
        <f>E42-D42</f>
        <v>0</v>
      </c>
      <c r="G42" s="7">
        <v>36</v>
      </c>
      <c r="H42" s="7">
        <v>35</v>
      </c>
      <c r="I42" s="8">
        <f>H42-G42</f>
        <v>-1</v>
      </c>
      <c r="J42" s="7">
        <v>33</v>
      </c>
      <c r="K42" s="7">
        <v>34</v>
      </c>
      <c r="L42" s="8">
        <f>K42-J42</f>
        <v>1</v>
      </c>
      <c r="M42" s="9">
        <f>IF(C42&gt;0,J42/C42*1000,"")</f>
        <v>1.3616670105219724</v>
      </c>
      <c r="N42" s="9">
        <f>IF(C42&gt;0,K42/C42*1000,"")</f>
        <v>1.4029296472044563</v>
      </c>
      <c r="O42" s="10">
        <f>IF(OR(M42="",N42=""),"",N42-M42)</f>
        <v>0.04126263668248398</v>
      </c>
      <c r="P42" s="7">
        <v>58</v>
      </c>
      <c r="Q42" s="7">
        <v>58</v>
      </c>
      <c r="R42" s="7">
        <v>41</v>
      </c>
      <c r="S42" s="7">
        <v>41</v>
      </c>
      <c r="T42" s="8">
        <f>R42-S42</f>
        <v>0</v>
      </c>
      <c r="U42" s="7">
        <v>0</v>
      </c>
      <c r="V42" s="7">
        <v>0</v>
      </c>
    </row>
    <row r="43" spans="1:22" x14ac:dyDescent="0.25">
      <c r="A43" s="6">
        <v>31</v>
      </c>
      <c r="B43" s="6" t="s">
        <v>124</v>
      </c>
      <c r="C43" s="7">
        <v>17755</v>
      </c>
      <c r="D43" s="7">
        <v>30</v>
      </c>
      <c r="E43" s="7">
        <v>30</v>
      </c>
      <c r="F43" s="8">
        <f>E43-D43</f>
        <v>0</v>
      </c>
      <c r="G43" s="7">
        <v>13</v>
      </c>
      <c r="H43" s="7">
        <v>13</v>
      </c>
      <c r="I43" s="8">
        <f>H43-G43</f>
        <v>0</v>
      </c>
      <c r="J43" s="7">
        <v>17</v>
      </c>
      <c r="K43" s="7">
        <v>17</v>
      </c>
      <c r="L43" s="8">
        <f>K43-J43</f>
        <v>0</v>
      </c>
      <c r="M43" s="9">
        <f>IF(C43&gt;0,J43/C43*1000,"")</f>
        <v>0.9574767671078569</v>
      </c>
      <c r="N43" s="9">
        <f>IF(C43&gt;0,K43/C43*1000,"")</f>
        <v>0.9574767671078569</v>
      </c>
      <c r="O43" s="10">
        <f>IF(OR(M43="",N43=""),"",N43-M43)</f>
        <v>0</v>
      </c>
      <c r="P43" s="7">
        <v>26</v>
      </c>
      <c r="Q43" s="7">
        <v>26</v>
      </c>
      <c r="R43" s="7">
        <v>42</v>
      </c>
      <c r="S43" s="7">
        <v>42</v>
      </c>
      <c r="T43" s="8">
        <f>R43-S43</f>
        <v>0</v>
      </c>
      <c r="U43" s="7">
        <v>4</v>
      </c>
      <c r="V43" s="7">
        <v>4</v>
      </c>
    </row>
    <row r="44" spans="1:22" x14ac:dyDescent="0.25">
      <c r="A44" s="6">
        <v>17</v>
      </c>
      <c r="B44" s="6" t="s">
        <v>122</v>
      </c>
      <c r="C44" s="7">
        <v>21944</v>
      </c>
      <c r="D44" s="7">
        <v>24</v>
      </c>
      <c r="E44" s="7">
        <v>24</v>
      </c>
      <c r="F44" s="8">
        <f>E44-D44</f>
        <v>0</v>
      </c>
      <c r="G44" s="7">
        <v>5</v>
      </c>
      <c r="H44" s="7">
        <v>5</v>
      </c>
      <c r="I44" s="8">
        <f>H44-G44</f>
        <v>0</v>
      </c>
      <c r="J44" s="7">
        <v>19</v>
      </c>
      <c r="K44" s="7">
        <v>19</v>
      </c>
      <c r="L44" s="8">
        <f>K44-J44</f>
        <v>0</v>
      </c>
      <c r="M44" s="9">
        <f>IF(C44&gt;0,J44/C44*1000,"")</f>
        <v>0.8658403208166241</v>
      </c>
      <c r="N44" s="9">
        <f>IF(C44&gt;0,K44/C44*1000,"")</f>
        <v>0.8658403208166241</v>
      </c>
      <c r="O44" s="10">
        <f>IF(OR(M44="",N44=""),"",N44-M44)</f>
        <v>0</v>
      </c>
      <c r="P44" s="7">
        <v>25</v>
      </c>
      <c r="Q44" s="7">
        <v>25</v>
      </c>
      <c r="R44" s="7">
        <v>43</v>
      </c>
      <c r="S44" s="7">
        <v>43</v>
      </c>
      <c r="T44" s="8">
        <f>R44-S44</f>
        <v>0</v>
      </c>
      <c r="U44" s="7">
        <v>69</v>
      </c>
      <c r="V44" s="7">
        <v>69</v>
      </c>
    </row>
    <row r="45" spans="1:22" x14ac:dyDescent="0.25">
      <c r="A45" s="6">
        <v>41</v>
      </c>
      <c r="B45" s="6" t="s">
        <v>115</v>
      </c>
      <c r="C45" s="7">
        <v>25462</v>
      </c>
      <c r="D45" s="7">
        <v>48</v>
      </c>
      <c r="E45" s="7">
        <v>48</v>
      </c>
      <c r="F45" s="8">
        <f>E45-D45</f>
        <v>0</v>
      </c>
      <c r="G45" s="7">
        <v>31</v>
      </c>
      <c r="H45" s="7">
        <v>29</v>
      </c>
      <c r="I45" s="8">
        <f>H45-G45</f>
        <v>-2</v>
      </c>
      <c r="J45" s="7">
        <v>17</v>
      </c>
      <c r="K45" s="7">
        <v>19</v>
      </c>
      <c r="L45" s="8">
        <f>K45-J45</f>
        <v>2</v>
      </c>
      <c r="M45" s="9">
        <f>IF(C45&gt;0,J45/C45*1000,"")</f>
        <v>0.6676616133846516</v>
      </c>
      <c r="N45" s="9">
        <f>IF(C45&gt;0,K45/C45*1000,"")</f>
        <v>0.7462100384887284</v>
      </c>
      <c r="O45" s="10">
        <f>IF(OR(M45="",N45=""),"",N45-M45)</f>
        <v>0.07854842510407678</v>
      </c>
      <c r="P45" s="7">
        <v>44</v>
      </c>
      <c r="Q45" s="7">
        <v>44</v>
      </c>
      <c r="R45" s="7">
        <v>44</v>
      </c>
      <c r="S45" s="7">
        <v>44</v>
      </c>
      <c r="T45" s="8">
        <f>R45-S45</f>
        <v>0</v>
      </c>
      <c r="U45" s="7">
        <v>0</v>
      </c>
      <c r="V45" s="7">
        <v>0</v>
      </c>
    </row>
    <row r="46" spans="1:22" x14ac:dyDescent="0.25">
      <c r="A46" s="6">
        <v>18</v>
      </c>
      <c r="B46" s="6" t="s">
        <v>128</v>
      </c>
      <c r="C46" s="7">
        <v>20225</v>
      </c>
      <c r="D46" s="7">
        <v>14</v>
      </c>
      <c r="E46" s="7">
        <v>14</v>
      </c>
      <c r="F46" s="8">
        <f>E46-D46</f>
        <v>0</v>
      </c>
      <c r="G46" s="7">
        <v>2</v>
      </c>
      <c r="H46" s="7">
        <v>2</v>
      </c>
      <c r="I46" s="8">
        <f>H46-G46</f>
        <v>0</v>
      </c>
      <c r="J46" s="7">
        <v>12</v>
      </c>
      <c r="K46" s="7">
        <v>12</v>
      </c>
      <c r="L46" s="8">
        <f>K46-J46</f>
        <v>0</v>
      </c>
      <c r="M46" s="9">
        <f>IF(C46&gt;0,J46/C46*1000,"")</f>
        <v>0.5933250927070457</v>
      </c>
      <c r="N46" s="9">
        <f>IF(C46&gt;0,K46/C46*1000,"")</f>
        <v>0.5933250927070457</v>
      </c>
      <c r="O46" s="10">
        <f>IF(OR(M46="",N46=""),"",N46-M46)</f>
        <v>0</v>
      </c>
      <c r="P46" s="7">
        <v>10</v>
      </c>
      <c r="Q46" s="7">
        <v>10</v>
      </c>
      <c r="R46" s="7">
        <v>45</v>
      </c>
      <c r="S46" s="7">
        <v>45</v>
      </c>
      <c r="T46" s="8">
        <f>R46-S46</f>
        <v>0</v>
      </c>
      <c r="U46" s="7">
        <v>0</v>
      </c>
      <c r="V46" s="7">
        <v>0</v>
      </c>
    </row>
    <row r="47" spans="1:22" x14ac:dyDescent="0.25">
      <c r="A47" s="6">
        <v>39</v>
      </c>
      <c r="B47" s="6" t="s">
        <v>119</v>
      </c>
      <c r="C47" s="7">
        <v>22495</v>
      </c>
      <c r="D47" s="7">
        <v>39</v>
      </c>
      <c r="E47" s="7">
        <v>39</v>
      </c>
      <c r="F47" s="8">
        <f>E47-D47</f>
        <v>0</v>
      </c>
      <c r="G47" s="7">
        <v>26</v>
      </c>
      <c r="H47" s="7">
        <v>26</v>
      </c>
      <c r="I47" s="8">
        <f>H47-G47</f>
        <v>0</v>
      </c>
      <c r="J47" s="7">
        <v>13</v>
      </c>
      <c r="K47" s="7">
        <v>13</v>
      </c>
      <c r="L47" s="8">
        <f>K47-J47</f>
        <v>0</v>
      </c>
      <c r="M47" s="9">
        <f>IF(C47&gt;0,J47/C47*1000,"")</f>
        <v>0.577906201378084</v>
      </c>
      <c r="N47" s="9">
        <f>IF(C47&gt;0,K47/C47*1000,"")</f>
        <v>0.577906201378084</v>
      </c>
      <c r="O47" s="10">
        <f>IF(OR(M47="",N47=""),"",N47-M47)</f>
        <v>0</v>
      </c>
      <c r="P47" s="7">
        <v>41</v>
      </c>
      <c r="Q47" s="7">
        <v>41</v>
      </c>
      <c r="R47" s="7">
        <v>46</v>
      </c>
      <c r="S47" s="7">
        <v>46</v>
      </c>
      <c r="T47" s="8">
        <f>R47-S47</f>
        <v>0</v>
      </c>
      <c r="U47" s="7">
        <v>0</v>
      </c>
      <c r="V47" s="7">
        <v>0</v>
      </c>
    </row>
    <row r="48" spans="1:22" x14ac:dyDescent="0.25">
      <c r="A48" s="6">
        <v>19</v>
      </c>
      <c r="B48" s="6" t="s">
        <v>123</v>
      </c>
      <c r="C48" s="7">
        <v>21515</v>
      </c>
      <c r="D48" s="7">
        <v>21</v>
      </c>
      <c r="E48" s="7">
        <v>21</v>
      </c>
      <c r="F48" s="8">
        <f>E48-D48</f>
        <v>0</v>
      </c>
      <c r="G48" s="7">
        <v>15</v>
      </c>
      <c r="H48" s="7">
        <v>14</v>
      </c>
      <c r="I48" s="8">
        <f>H48-G48</f>
        <v>-1</v>
      </c>
      <c r="J48" s="7">
        <v>6</v>
      </c>
      <c r="K48" s="7">
        <v>7</v>
      </c>
      <c r="L48" s="8">
        <f>K48-J48</f>
        <v>1</v>
      </c>
      <c r="M48" s="9">
        <f>IF(C48&gt;0,J48/C48*1000,"")</f>
        <v>0.27887520334650245</v>
      </c>
      <c r="N48" s="9">
        <f>IF(C48&gt;0,K48/C48*1000,"")</f>
        <v>0.32535440390425285</v>
      </c>
      <c r="O48" s="10">
        <f>IF(OR(M48="",N48=""),"",N48-M48)</f>
        <v>0.0464792005577504</v>
      </c>
      <c r="P48" s="7">
        <v>26</v>
      </c>
      <c r="Q48" s="7">
        <v>26</v>
      </c>
      <c r="R48" s="7">
        <v>47</v>
      </c>
      <c r="S48" s="7">
        <v>47</v>
      </c>
      <c r="T48" s="8">
        <f>R48-S48</f>
        <v>0</v>
      </c>
      <c r="U48" s="7">
        <v>5</v>
      </c>
      <c r="V48" s="7">
        <v>5</v>
      </c>
    </row>
    <row r="49" spans="1:22" x14ac:dyDescent="0.25">
      <c r="A49" s="6">
        <v>9</v>
      </c>
      <c r="B49" s="6" t="s">
        <v>126</v>
      </c>
      <c r="C49" s="7">
        <v>25610</v>
      </c>
      <c r="D49" s="7">
        <v>28</v>
      </c>
      <c r="E49" s="7">
        <v>28</v>
      </c>
      <c r="F49" s="8">
        <f>E49-D49</f>
        <v>0</v>
      </c>
      <c r="G49" s="7">
        <v>24</v>
      </c>
      <c r="H49" s="7">
        <v>22</v>
      </c>
      <c r="I49" s="8">
        <f>H49-G49</f>
        <v>-2</v>
      </c>
      <c r="J49" s="7">
        <v>4</v>
      </c>
      <c r="K49" s="7">
        <v>6</v>
      </c>
      <c r="L49" s="8">
        <f>K49-J49</f>
        <v>2</v>
      </c>
      <c r="M49" s="9">
        <f>IF(C49&gt;0,J49/C49*1000,"")</f>
        <v>0.15618898867629832</v>
      </c>
      <c r="N49" s="9">
        <f>IF(C49&gt;0,K49/C49*1000,"")</f>
        <v>0.23428348301444749</v>
      </c>
      <c r="O49" s="10">
        <f>IF(OR(M49="",N49=""),"",N49-M49)</f>
        <v>0.07809449433814916</v>
      </c>
      <c r="P49" s="7">
        <v>42</v>
      </c>
      <c r="Q49" s="7">
        <v>41</v>
      </c>
      <c r="R49" s="7">
        <v>49</v>
      </c>
      <c r="S49" s="7">
        <v>48</v>
      </c>
      <c r="T49" s="8">
        <f>R49-S49</f>
        <v>1</v>
      </c>
      <c r="U49" s="7">
        <v>63</v>
      </c>
      <c r="V49" s="7">
        <v>63</v>
      </c>
    </row>
    <row r="50" spans="1:22" x14ac:dyDescent="0.25">
      <c r="A50" s="6">
        <v>23</v>
      </c>
      <c r="B50" s="6" t="s">
        <v>131</v>
      </c>
      <c r="C50" s="7">
        <v>16232</v>
      </c>
      <c r="D50" s="7">
        <v>9</v>
      </c>
      <c r="E50" s="7">
        <v>9</v>
      </c>
      <c r="F50" s="8">
        <f>E50-D50</f>
        <v>0</v>
      </c>
      <c r="G50" s="7">
        <v>6</v>
      </c>
      <c r="H50" s="7">
        <v>6</v>
      </c>
      <c r="I50" s="8">
        <f>H50-G50</f>
        <v>0</v>
      </c>
      <c r="J50" s="7">
        <v>3</v>
      </c>
      <c r="K50" s="7">
        <v>3</v>
      </c>
      <c r="L50" s="8">
        <f>K50-J50</f>
        <v>0</v>
      </c>
      <c r="M50" s="9">
        <f>IF(C50&gt;0,J50/C50*1000,"")</f>
        <v>0.18482010842779695</v>
      </c>
      <c r="N50" s="9">
        <f>IF(C50&gt;0,K50/C50*1000,"")</f>
        <v>0.18482010842779695</v>
      </c>
      <c r="O50" s="10">
        <f>IF(OR(M50="",N50=""),"",N50-M50)</f>
        <v>0</v>
      </c>
      <c r="P50" s="7">
        <v>13</v>
      </c>
      <c r="Q50" s="7">
        <v>13</v>
      </c>
      <c r="R50" s="7">
        <v>48</v>
      </c>
      <c r="S50" s="7">
        <v>49</v>
      </c>
      <c r="T50" s="8">
        <f>R50-S50</f>
        <v>-1</v>
      </c>
      <c r="U50" s="7">
        <v>0</v>
      </c>
      <c r="V50" s="7">
        <v>0</v>
      </c>
    </row>
    <row r="51" spans="1:22" x14ac:dyDescent="0.25">
      <c r="A51" s="6">
        <v>13</v>
      </c>
      <c r="B51" s="6" t="s">
        <v>129</v>
      </c>
      <c r="C51" s="7">
        <v>18500</v>
      </c>
      <c r="D51" s="7">
        <v>5</v>
      </c>
      <c r="E51" s="7">
        <v>5</v>
      </c>
      <c r="F51" s="8">
        <f>E51-D51</f>
        <v>0</v>
      </c>
      <c r="G51" s="7">
        <v>6</v>
      </c>
      <c r="H51" s="7">
        <v>6</v>
      </c>
      <c r="I51" s="8">
        <f>H51-G51</f>
        <v>0</v>
      </c>
      <c r="J51" s="7">
        <v>-1</v>
      </c>
      <c r="K51" s="7">
        <v>-1</v>
      </c>
      <c r="L51" s="8">
        <f>K51-J51</f>
        <v>0</v>
      </c>
      <c r="M51" s="9">
        <f>IF(C51&gt;0,J51/C51*1000,"")</f>
        <v>-0.05405405405405405</v>
      </c>
      <c r="N51" s="9">
        <f>IF(C51&gt;0,K51/C51*1000,"")</f>
        <v>-0.05405405405405405</v>
      </c>
      <c r="O51" s="10">
        <f>IF(OR(M51="",N51=""),"",N51-M51)</f>
        <v>0</v>
      </c>
      <c r="P51" s="7">
        <v>10</v>
      </c>
      <c r="Q51" s="7">
        <v>10</v>
      </c>
      <c r="R51" s="7">
        <v>50</v>
      </c>
      <c r="S51" s="7">
        <v>50</v>
      </c>
      <c r="T51" s="8">
        <f>R51-S51</f>
        <v>0</v>
      </c>
      <c r="U51" s="7">
        <v>9</v>
      </c>
      <c r="V51" s="7">
        <v>8</v>
      </c>
    </row>
    <row r="52" spans="1:22" x14ac:dyDescent="0.25">
      <c r="A52" s="12" t="s">
        <v>10</v>
      </c>
      <c r="B52" s="12" t="s">
        <v>133</v>
      </c>
      <c r="C52" s="13">
        <f>SUM(C2:C51)</f>
        <v>1295960</v>
      </c>
      <c r="D52" s="13">
        <f>SUM(D2:D51)</f>
        <v>15631</v>
      </c>
      <c r="E52" s="13">
        <f>SUM(E2:E51)</f>
        <v>15631</v>
      </c>
      <c r="F52" s="14">
        <f>E52-D52</f>
        <v>0</v>
      </c>
      <c r="G52" s="13">
        <f>SUM(G2:G51)</f>
        <v>2206</v>
      </c>
      <c r="H52" s="13">
        <f>SUM(H2:H51)</f>
        <v>2075</v>
      </c>
      <c r="I52" s="14">
        <f>H52-G52</f>
        <v>-131</v>
      </c>
      <c r="J52" s="13">
        <f>SUM(J2:J51)</f>
        <v>13425</v>
      </c>
      <c r="K52" s="13">
        <f>SUM(K2:K51)</f>
        <v>13556</v>
      </c>
      <c r="L52" s="14">
        <f>K52-J52</f>
        <v>131</v>
      </c>
      <c r="M52" s="15">
        <f>IF(C52&gt;0,J52/C52*1000,"")</f>
        <v>10.359116022099448</v>
      </c>
      <c r="N52" s="15">
        <f>IF(C52&gt;0,K52/C52*1000,"")</f>
        <v>10.460199388870027</v>
      </c>
      <c r="O52" s="16">
        <f>IF(OR(M52="",N52=""),"",N52-M52)</f>
        <v>0.10108336677057927</v>
      </c>
      <c r="P52" s="13">
        <f>SUM(P2:P51)</f>
        <v>3657</v>
      </c>
      <c r="Q52" s="13">
        <f>SUM(Q2:Q51)</f>
        <v>3652</v>
      </c>
      <c r="R52" s="13" t="s">
        <v>133</v>
      </c>
      <c r="S52" s="13" t="s">
        <v>133</v>
      </c>
      <c r="T52" s="13" t="s">
        <v>133</v>
      </c>
      <c r="U52" s="13">
        <f>SUM(U2:U51)</f>
        <v>782</v>
      </c>
      <c r="V52" s="13">
        <f>SUM(V2:V51)</f>
        <v>767</v>
      </c>
    </row>
  </sheetData>
  <autoFilter ref="A1:V51"/>
  <conditionalFormatting sqref="F2:F52">
    <cfRule type="cellIs" dxfId="34" priority="1" operator="greaterThan">
      <formula>0</formula>
    </cfRule>
    <cfRule type="cellIs" dxfId="35" priority="2" operator="lessThan">
      <formula>0</formula>
    </cfRule>
  </conditionalFormatting>
  <conditionalFormatting sqref="I2:I52">
    <cfRule type="cellIs" dxfId="36" priority="1" operator="greaterThan">
      <formula>0</formula>
    </cfRule>
    <cfRule type="cellIs" dxfId="37" priority="2" operator="lessThan">
      <formula>0</formula>
    </cfRule>
  </conditionalFormatting>
  <conditionalFormatting sqref="L2:L52">
    <cfRule type="cellIs" dxfId="38" priority="1" operator="greaterThan">
      <formula>0</formula>
    </cfRule>
    <cfRule type="cellIs" dxfId="39" priority="2" operator="lessThan">
      <formula>0</formula>
    </cfRule>
  </conditionalFormatting>
  <conditionalFormatting sqref="O2:O52">
    <cfRule type="cellIs" dxfId="40" priority="1" operator="greaterThan">
      <formula>0</formula>
    </cfRule>
    <cfRule type="cellIs" dxfId="41" priority="2" operator="lessThan">
      <formula>0</formula>
    </cfRule>
  </conditionalFormatting>
  <conditionalFormatting sqref="T2:T51">
    <cfRule type="cellIs" dxfId="42" priority="1" operator="greaterThan">
      <formula>0</formula>
    </cfRule>
    <cfRule type="cellIs" dxfId="43"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7" customWidth="1"/>
    <col min="3" max="3" width="26" customWidth="1"/>
    <col min="4" max="4" width="18" customWidth="1"/>
    <col min="5" max="5" width="12" customWidth="1"/>
    <col min="6" max="8" width="11" customWidth="1"/>
    <col min="9" max="10" width="12" customWidth="1"/>
    <col min="11" max="12" width="30" customWidth="1"/>
    <col min="13" max="13" width="12" customWidth="1"/>
    <col min="14" max="14" width="60" customWidth="1"/>
  </cols>
  <sheetData>
    <row r="1" ht="30" customHeight="1" spans="1:14" x14ac:dyDescent="0.25">
      <c r="A1" s="5" t="s">
        <v>134</v>
      </c>
      <c r="B1" s="5" t="s">
        <v>61</v>
      </c>
      <c r="C1" s="5" t="s">
        <v>135</v>
      </c>
      <c r="D1" s="5" t="s">
        <v>136</v>
      </c>
      <c r="E1" s="5" t="s">
        <v>137</v>
      </c>
      <c r="F1" s="5" t="s">
        <v>138</v>
      </c>
      <c r="G1" s="5" t="s">
        <v>139</v>
      </c>
      <c r="H1" s="5" t="s">
        <v>140</v>
      </c>
      <c r="I1" s="5" t="s">
        <v>141</v>
      </c>
      <c r="J1" s="5" t="s">
        <v>142</v>
      </c>
      <c r="K1" s="5" t="s">
        <v>143</v>
      </c>
      <c r="L1" s="5" t="s">
        <v>144</v>
      </c>
      <c r="M1" s="5" t="s">
        <v>145</v>
      </c>
      <c r="N1" s="5" t="s">
        <v>146</v>
      </c>
    </row>
    <row r="2" spans="1:14" x14ac:dyDescent="0.25">
      <c r="A2" s="6" t="s">
        <v>147</v>
      </c>
      <c r="B2" s="6">
        <v>44</v>
      </c>
      <c r="C2" s="6" t="s">
        <v>148</v>
      </c>
      <c r="D2" s="6" t="s">
        <v>149</v>
      </c>
      <c r="E2" s="6" t="s">
        <v>150</v>
      </c>
      <c r="F2" s="7">
        <v>-79</v>
      </c>
      <c r="H2" s="8">
        <f>N(G2)-N(F2)</f>
        <v>79</v>
      </c>
      <c r="I2" s="6" t="s">
        <v>151</v>
      </c>
      <c r="J2" s="6" t="s">
        <v>133</v>
      </c>
      <c r="K2" s="6" t="s">
        <v>152</v>
      </c>
      <c r="L2" s="6" t="s">
        <v>133</v>
      </c>
      <c r="M2" s="6" t="s">
        <v>153</v>
      </c>
      <c r="N2" s="6" t="s">
        <v>154</v>
      </c>
    </row>
    <row r="3" spans="1:14" x14ac:dyDescent="0.25">
      <c r="A3" s="6" t="s">
        <v>147</v>
      </c>
      <c r="B3" s="6">
        <v>43</v>
      </c>
      <c r="C3" s="6" t="s">
        <v>155</v>
      </c>
      <c r="D3" s="6" t="s">
        <v>149</v>
      </c>
      <c r="E3" s="6" t="s">
        <v>156</v>
      </c>
      <c r="F3" s="7">
        <v>-6</v>
      </c>
      <c r="H3" s="8">
        <f>N(G3)-N(F3)</f>
        <v>6</v>
      </c>
      <c r="I3" s="6" t="s">
        <v>151</v>
      </c>
      <c r="J3" s="6" t="s">
        <v>133</v>
      </c>
      <c r="K3" s="6" t="s">
        <v>157</v>
      </c>
      <c r="L3" s="6" t="s">
        <v>133</v>
      </c>
      <c r="M3" s="6" t="s">
        <v>158</v>
      </c>
      <c r="N3" s="6" t="s">
        <v>159</v>
      </c>
    </row>
    <row r="4" spans="1:14" x14ac:dyDescent="0.25">
      <c r="A4" s="6" t="s">
        <v>160</v>
      </c>
      <c r="B4" s="6">
        <v>32</v>
      </c>
      <c r="C4" s="6" t="s">
        <v>161</v>
      </c>
      <c r="D4" s="6" t="s">
        <v>162</v>
      </c>
      <c r="E4" s="6" t="s">
        <v>163</v>
      </c>
      <c r="F4" s="7">
        <v>15</v>
      </c>
      <c r="G4" s="7">
        <v>21</v>
      </c>
      <c r="H4" s="8">
        <f>N(G4)-N(F4)</f>
        <v>6</v>
      </c>
      <c r="I4" s="6" t="s">
        <v>151</v>
      </c>
      <c r="J4" s="6" t="s">
        <v>151</v>
      </c>
      <c r="K4" s="6" t="s">
        <v>164</v>
      </c>
      <c r="L4" s="6" t="s">
        <v>164</v>
      </c>
      <c r="M4" s="6" t="s">
        <v>165</v>
      </c>
      <c r="N4" s="6" t="s">
        <v>166</v>
      </c>
    </row>
    <row r="5" spans="1:14" x14ac:dyDescent="0.25">
      <c r="A5" s="6" t="s">
        <v>160</v>
      </c>
      <c r="B5" s="6">
        <v>32</v>
      </c>
      <c r="C5" s="6" t="s">
        <v>161</v>
      </c>
      <c r="D5" s="6" t="s">
        <v>149</v>
      </c>
      <c r="E5" s="6" t="s">
        <v>167</v>
      </c>
      <c r="F5" s="7">
        <v>-9</v>
      </c>
      <c r="G5" s="7">
        <v>-3</v>
      </c>
      <c r="H5" s="8">
        <f>N(G5)-N(F5)</f>
        <v>6</v>
      </c>
      <c r="I5" s="6" t="s">
        <v>168</v>
      </c>
      <c r="J5" s="6" t="s">
        <v>168</v>
      </c>
      <c r="K5" s="6" t="s">
        <v>169</v>
      </c>
      <c r="L5" s="6" t="s">
        <v>170</v>
      </c>
      <c r="M5" s="6" t="s">
        <v>171</v>
      </c>
      <c r="N5" s="6" t="s">
        <v>172</v>
      </c>
    </row>
    <row r="6" spans="1:14" x14ac:dyDescent="0.25">
      <c r="A6" s="6" t="s">
        <v>160</v>
      </c>
      <c r="B6" s="6">
        <v>38</v>
      </c>
      <c r="C6" s="6" t="s">
        <v>173</v>
      </c>
      <c r="D6" s="6" t="s">
        <v>149</v>
      </c>
      <c r="E6" s="6" t="s">
        <v>174</v>
      </c>
      <c r="F6" s="7">
        <v>-10</v>
      </c>
      <c r="G6" s="7">
        <v>-5</v>
      </c>
      <c r="H6" s="8">
        <f>N(G6)-N(F6)</f>
        <v>5</v>
      </c>
      <c r="I6" s="6" t="s">
        <v>151</v>
      </c>
      <c r="J6" s="6" t="s">
        <v>151</v>
      </c>
      <c r="K6" s="6" t="s">
        <v>152</v>
      </c>
      <c r="L6" s="6" t="s">
        <v>157</v>
      </c>
      <c r="M6" s="6" t="s">
        <v>175</v>
      </c>
      <c r="N6" s="6" t="s">
        <v>176</v>
      </c>
    </row>
    <row r="7" spans="1:14" x14ac:dyDescent="0.25">
      <c r="A7" s="6" t="s">
        <v>160</v>
      </c>
      <c r="B7" s="6">
        <v>32</v>
      </c>
      <c r="C7" s="6" t="s">
        <v>177</v>
      </c>
      <c r="D7" s="6" t="s">
        <v>162</v>
      </c>
      <c r="E7" s="6" t="s">
        <v>178</v>
      </c>
      <c r="F7" s="7">
        <v>-2</v>
      </c>
      <c r="G7" s="7">
        <v>2</v>
      </c>
      <c r="H7" s="8">
        <f>N(G7)-N(F7)</f>
        <v>4</v>
      </c>
      <c r="I7" s="6" t="s">
        <v>151</v>
      </c>
      <c r="J7" s="6" t="s">
        <v>151</v>
      </c>
      <c r="K7" s="6" t="s">
        <v>164</v>
      </c>
      <c r="L7" s="6" t="s">
        <v>164</v>
      </c>
      <c r="M7" s="6" t="s">
        <v>179</v>
      </c>
      <c r="N7" s="6" t="s">
        <v>180</v>
      </c>
    </row>
    <row r="8" spans="1:14" x14ac:dyDescent="0.25">
      <c r="A8" s="6" t="s">
        <v>160</v>
      </c>
      <c r="B8" s="6">
        <v>32</v>
      </c>
      <c r="C8" s="6" t="s">
        <v>177</v>
      </c>
      <c r="D8" s="6" t="s">
        <v>149</v>
      </c>
      <c r="E8" s="6" t="s">
        <v>181</v>
      </c>
      <c r="F8" s="7">
        <v>-6</v>
      </c>
      <c r="G8" s="7">
        <v>-2</v>
      </c>
      <c r="H8" s="8">
        <f>N(G8)-N(F8)</f>
        <v>4</v>
      </c>
      <c r="I8" s="6" t="s">
        <v>168</v>
      </c>
      <c r="J8" s="6" t="s">
        <v>168</v>
      </c>
      <c r="K8" s="6" t="s">
        <v>169</v>
      </c>
      <c r="L8" s="6" t="s">
        <v>170</v>
      </c>
      <c r="M8" s="6" t="s">
        <v>182</v>
      </c>
      <c r="N8" s="6" t="s">
        <v>183</v>
      </c>
    </row>
    <row r="9" spans="1:14" x14ac:dyDescent="0.25">
      <c r="A9" s="6" t="s">
        <v>160</v>
      </c>
      <c r="B9" s="6">
        <v>32</v>
      </c>
      <c r="C9" s="6" t="s">
        <v>184</v>
      </c>
      <c r="D9" s="6" t="s">
        <v>162</v>
      </c>
      <c r="E9" s="6" t="s">
        <v>185</v>
      </c>
      <c r="F9" s="7">
        <v>-7</v>
      </c>
      <c r="G9" s="7">
        <v>-3</v>
      </c>
      <c r="H9" s="8">
        <f>N(G9)-N(F9)</f>
        <v>4</v>
      </c>
      <c r="I9" s="6" t="s">
        <v>151</v>
      </c>
      <c r="J9" s="6" t="s">
        <v>151</v>
      </c>
      <c r="K9" s="6" t="s">
        <v>164</v>
      </c>
      <c r="L9" s="6" t="s">
        <v>164</v>
      </c>
      <c r="M9" s="6" t="s">
        <v>186</v>
      </c>
      <c r="N9" s="6" t="s">
        <v>187</v>
      </c>
    </row>
    <row r="10" spans="1:14" x14ac:dyDescent="0.25">
      <c r="A10" s="6" t="s">
        <v>160</v>
      </c>
      <c r="B10" s="6">
        <v>32</v>
      </c>
      <c r="C10" s="6" t="s">
        <v>184</v>
      </c>
      <c r="D10" s="6" t="s">
        <v>149</v>
      </c>
      <c r="E10" s="6" t="s">
        <v>188</v>
      </c>
      <c r="F10" s="7">
        <v>-8</v>
      </c>
      <c r="G10" s="7">
        <v>-4</v>
      </c>
      <c r="H10" s="8">
        <f>N(G10)-N(F10)</f>
        <v>4</v>
      </c>
      <c r="I10" s="6" t="s">
        <v>168</v>
      </c>
      <c r="J10" s="6" t="s">
        <v>168</v>
      </c>
      <c r="K10" s="6" t="s">
        <v>169</v>
      </c>
      <c r="L10" s="6" t="s">
        <v>170</v>
      </c>
      <c r="M10" s="6" t="s">
        <v>189</v>
      </c>
      <c r="N10" s="6" t="s">
        <v>190</v>
      </c>
    </row>
    <row r="11" spans="1:14" x14ac:dyDescent="0.25">
      <c r="A11" s="6" t="s">
        <v>147</v>
      </c>
      <c r="B11" s="6">
        <v>47</v>
      </c>
      <c r="C11" s="6" t="s">
        <v>191</v>
      </c>
      <c r="D11" s="6" t="s">
        <v>149</v>
      </c>
      <c r="E11" s="6" t="s">
        <v>192</v>
      </c>
      <c r="F11" s="7">
        <v>-4</v>
      </c>
      <c r="H11" s="8">
        <f>N(G11)-N(F11)</f>
        <v>4</v>
      </c>
      <c r="I11" s="6" t="s">
        <v>151</v>
      </c>
      <c r="J11" s="6" t="s">
        <v>133</v>
      </c>
      <c r="K11" s="6" t="s">
        <v>157</v>
      </c>
      <c r="L11" s="6" t="s">
        <v>133</v>
      </c>
      <c r="M11" s="6" t="s">
        <v>193</v>
      </c>
      <c r="N11" s="6" t="s">
        <v>194</v>
      </c>
    </row>
    <row r="12" spans="1:14" x14ac:dyDescent="0.25">
      <c r="A12" s="6" t="s">
        <v>160</v>
      </c>
      <c r="B12" s="6">
        <v>47</v>
      </c>
      <c r="C12" s="6" t="s">
        <v>195</v>
      </c>
      <c r="D12" s="6" t="s">
        <v>162</v>
      </c>
      <c r="E12" s="6" t="s">
        <v>196</v>
      </c>
      <c r="F12" s="7">
        <v>-2</v>
      </c>
      <c r="G12" s="7">
        <v>1</v>
      </c>
      <c r="H12" s="8">
        <f>N(G12)-N(F12)</f>
        <v>3</v>
      </c>
      <c r="I12" s="6" t="s">
        <v>151</v>
      </c>
      <c r="J12" s="6" t="s">
        <v>151</v>
      </c>
      <c r="K12" s="6" t="s">
        <v>164</v>
      </c>
      <c r="L12" s="6" t="s">
        <v>133</v>
      </c>
      <c r="M12" s="6" t="s">
        <v>197</v>
      </c>
      <c r="N12" s="6" t="s">
        <v>198</v>
      </c>
    </row>
    <row r="13" spans="1:14" x14ac:dyDescent="0.25">
      <c r="A13" s="6" t="s">
        <v>147</v>
      </c>
      <c r="B13" s="6">
        <v>47</v>
      </c>
      <c r="C13" s="6" t="s">
        <v>195</v>
      </c>
      <c r="D13" s="6" t="s">
        <v>149</v>
      </c>
      <c r="E13" s="6" t="s">
        <v>199</v>
      </c>
      <c r="F13" s="7">
        <v>-3</v>
      </c>
      <c r="H13" s="8">
        <f>N(G13)-N(F13)</f>
        <v>3</v>
      </c>
      <c r="I13" s="6" t="s">
        <v>168</v>
      </c>
      <c r="J13" s="6" t="s">
        <v>133</v>
      </c>
      <c r="K13" s="6" t="s">
        <v>170</v>
      </c>
      <c r="L13" s="6" t="s">
        <v>133</v>
      </c>
      <c r="M13" s="6" t="s">
        <v>200</v>
      </c>
      <c r="N13" s="6" t="s">
        <v>201</v>
      </c>
    </row>
    <row r="14" spans="1:14" x14ac:dyDescent="0.25">
      <c r="A14" s="6" t="s">
        <v>160</v>
      </c>
      <c r="B14" s="6">
        <v>11</v>
      </c>
      <c r="C14" s="6" t="s">
        <v>202</v>
      </c>
      <c r="D14" s="6" t="s">
        <v>203</v>
      </c>
      <c r="E14" s="6" t="s">
        <v>204</v>
      </c>
      <c r="F14" s="7">
        <v>-6</v>
      </c>
      <c r="G14" s="7">
        <v>-3</v>
      </c>
      <c r="H14" s="8">
        <f>N(G14)-N(F14)</f>
        <v>3</v>
      </c>
      <c r="I14" s="6" t="s">
        <v>168</v>
      </c>
      <c r="J14" s="6" t="s">
        <v>168</v>
      </c>
      <c r="K14" s="6" t="s">
        <v>205</v>
      </c>
      <c r="L14" s="6" t="s">
        <v>206</v>
      </c>
      <c r="M14" s="6" t="s">
        <v>207</v>
      </c>
      <c r="N14" s="6" t="s">
        <v>208</v>
      </c>
    </row>
    <row r="15" spans="1:14" x14ac:dyDescent="0.25">
      <c r="A15" s="6" t="s">
        <v>147</v>
      </c>
      <c r="B15" s="6">
        <v>6</v>
      </c>
      <c r="C15" s="6" t="s">
        <v>209</v>
      </c>
      <c r="D15" s="6" t="s">
        <v>203</v>
      </c>
      <c r="E15" s="6" t="s">
        <v>210</v>
      </c>
      <c r="F15" s="7">
        <v>-3</v>
      </c>
      <c r="H15" s="8">
        <f>N(G15)-N(F15)</f>
        <v>3</v>
      </c>
      <c r="I15" s="6" t="s">
        <v>168</v>
      </c>
      <c r="J15" s="6" t="s">
        <v>133</v>
      </c>
      <c r="K15" s="6" t="s">
        <v>211</v>
      </c>
      <c r="L15" s="6" t="s">
        <v>133</v>
      </c>
      <c r="M15" s="6" t="s">
        <v>212</v>
      </c>
      <c r="N15" s="6" t="s">
        <v>213</v>
      </c>
    </row>
    <row r="16" spans="1:14" x14ac:dyDescent="0.25">
      <c r="A16" s="6" t="s">
        <v>147</v>
      </c>
      <c r="B16" s="6">
        <v>10</v>
      </c>
      <c r="C16" s="6" t="s">
        <v>214</v>
      </c>
      <c r="D16" s="6" t="s">
        <v>149</v>
      </c>
      <c r="E16" s="6" t="s">
        <v>215</v>
      </c>
      <c r="F16" s="7">
        <v>-3</v>
      </c>
      <c r="H16" s="8">
        <f>N(G16)-N(F16)</f>
        <v>3</v>
      </c>
      <c r="I16" s="6" t="s">
        <v>151</v>
      </c>
      <c r="J16" s="6" t="s">
        <v>133</v>
      </c>
      <c r="K16" s="6" t="s">
        <v>157</v>
      </c>
      <c r="L16" s="6" t="s">
        <v>133</v>
      </c>
      <c r="M16" s="6" t="s">
        <v>216</v>
      </c>
      <c r="N16" s="6" t="s">
        <v>217</v>
      </c>
    </row>
    <row r="17" spans="1:14" x14ac:dyDescent="0.25">
      <c r="A17" s="6" t="s">
        <v>160</v>
      </c>
      <c r="B17" s="6">
        <v>9</v>
      </c>
      <c r="C17" s="6" t="s">
        <v>218</v>
      </c>
      <c r="D17" s="6" t="s">
        <v>149</v>
      </c>
      <c r="E17" s="6" t="s">
        <v>219</v>
      </c>
      <c r="F17" s="7">
        <v>-2</v>
      </c>
      <c r="G17" s="7">
        <v>0</v>
      </c>
      <c r="H17" s="8">
        <f>N(G17)-N(F17)</f>
        <v>2</v>
      </c>
      <c r="I17" s="6" t="s">
        <v>151</v>
      </c>
      <c r="J17" s="6" t="s">
        <v>168</v>
      </c>
      <c r="K17" s="6" t="s">
        <v>220</v>
      </c>
      <c r="L17" s="6" t="s">
        <v>221</v>
      </c>
      <c r="M17" s="6" t="s">
        <v>222</v>
      </c>
      <c r="N17" s="6" t="s">
        <v>223</v>
      </c>
    </row>
    <row r="18" spans="1:14" x14ac:dyDescent="0.25">
      <c r="A18" s="6" t="s">
        <v>147</v>
      </c>
      <c r="B18" s="6">
        <v>37</v>
      </c>
      <c r="C18" s="6" t="s">
        <v>224</v>
      </c>
      <c r="D18" s="6" t="s">
        <v>203</v>
      </c>
      <c r="E18" s="6" t="s">
        <v>225</v>
      </c>
      <c r="F18" s="7">
        <v>-2</v>
      </c>
      <c r="H18" s="8">
        <f>N(G18)-N(F18)</f>
        <v>2</v>
      </c>
      <c r="I18" s="6" t="s">
        <v>168</v>
      </c>
      <c r="J18" s="6" t="s">
        <v>133</v>
      </c>
      <c r="K18" s="6" t="s">
        <v>211</v>
      </c>
      <c r="L18" s="6" t="s">
        <v>133</v>
      </c>
      <c r="M18" s="6" t="s">
        <v>226</v>
      </c>
      <c r="N18" s="6" t="s">
        <v>227</v>
      </c>
    </row>
    <row r="19" spans="1:14" x14ac:dyDescent="0.25">
      <c r="A19" s="6" t="s">
        <v>228</v>
      </c>
      <c r="B19" s="6">
        <v>32</v>
      </c>
      <c r="C19" s="6" t="s">
        <v>229</v>
      </c>
      <c r="D19" s="6" t="s">
        <v>149</v>
      </c>
      <c r="E19" s="6" t="s">
        <v>230</v>
      </c>
      <c r="G19" s="7">
        <v>-2</v>
      </c>
      <c r="H19" s="8">
        <f>N(G19)-N(F19)</f>
        <v>-2</v>
      </c>
      <c r="I19" s="6" t="s">
        <v>133</v>
      </c>
      <c r="J19" s="6" t="s">
        <v>151</v>
      </c>
      <c r="K19" s="6" t="s">
        <v>133</v>
      </c>
      <c r="L19" s="6" t="s">
        <v>157</v>
      </c>
      <c r="M19" s="6" t="s">
        <v>231</v>
      </c>
      <c r="N19" s="6" t="s">
        <v>232</v>
      </c>
    </row>
    <row r="20" spans="1:14" x14ac:dyDescent="0.25">
      <c r="A20" s="6" t="s">
        <v>160</v>
      </c>
      <c r="B20" s="6">
        <v>33</v>
      </c>
      <c r="C20" s="6" t="s">
        <v>233</v>
      </c>
      <c r="D20" s="6" t="s">
        <v>162</v>
      </c>
      <c r="E20" s="6" t="s">
        <v>234</v>
      </c>
      <c r="F20" s="7">
        <v>-3</v>
      </c>
      <c r="G20" s="7">
        <v>-1</v>
      </c>
      <c r="H20" s="8">
        <f>N(G20)-N(F20)</f>
        <v>2</v>
      </c>
      <c r="I20" s="6" t="s">
        <v>151</v>
      </c>
      <c r="J20" s="6" t="s">
        <v>151</v>
      </c>
      <c r="K20" s="6" t="s">
        <v>164</v>
      </c>
      <c r="L20" s="6" t="s">
        <v>164</v>
      </c>
      <c r="M20" s="6" t="s">
        <v>235</v>
      </c>
      <c r="N20" s="6" t="s">
        <v>236</v>
      </c>
    </row>
    <row r="21" spans="1:14" x14ac:dyDescent="0.25">
      <c r="A21" s="6" t="s">
        <v>160</v>
      </c>
      <c r="B21" s="6">
        <v>33</v>
      </c>
      <c r="C21" s="6" t="s">
        <v>233</v>
      </c>
      <c r="D21" s="6" t="s">
        <v>149</v>
      </c>
      <c r="E21" s="6" t="s">
        <v>237</v>
      </c>
      <c r="F21" s="7">
        <v>-4</v>
      </c>
      <c r="G21" s="7">
        <v>-2</v>
      </c>
      <c r="H21" s="8">
        <f>N(G21)-N(F21)</f>
        <v>2</v>
      </c>
      <c r="I21" s="6" t="s">
        <v>168</v>
      </c>
      <c r="J21" s="6" t="s">
        <v>168</v>
      </c>
      <c r="K21" s="6" t="s">
        <v>238</v>
      </c>
      <c r="L21" s="6" t="s">
        <v>170</v>
      </c>
      <c r="M21" s="6" t="s">
        <v>239</v>
      </c>
      <c r="N21" s="6" t="s">
        <v>240</v>
      </c>
    </row>
    <row r="22" spans="1:14" x14ac:dyDescent="0.25">
      <c r="A22" s="6" t="s">
        <v>160</v>
      </c>
      <c r="B22" s="6">
        <v>32</v>
      </c>
      <c r="C22" s="6" t="s">
        <v>241</v>
      </c>
      <c r="D22" s="6" t="s">
        <v>162</v>
      </c>
      <c r="E22" s="6" t="s">
        <v>242</v>
      </c>
      <c r="F22" s="7">
        <v>-1</v>
      </c>
      <c r="G22" s="7">
        <v>1</v>
      </c>
      <c r="H22" s="8">
        <f>N(G22)-N(F22)</f>
        <v>2</v>
      </c>
      <c r="I22" s="6" t="s">
        <v>151</v>
      </c>
      <c r="J22" s="6" t="s">
        <v>151</v>
      </c>
      <c r="K22" s="6" t="s">
        <v>164</v>
      </c>
      <c r="L22" s="6" t="s">
        <v>133</v>
      </c>
      <c r="M22" s="6" t="s">
        <v>243</v>
      </c>
      <c r="N22" s="6" t="s">
        <v>244</v>
      </c>
    </row>
    <row r="23" spans="1:14" x14ac:dyDescent="0.25">
      <c r="A23" s="6" t="s">
        <v>147</v>
      </c>
      <c r="B23" s="6">
        <v>32</v>
      </c>
      <c r="C23" s="6" t="s">
        <v>241</v>
      </c>
      <c r="D23" s="6" t="s">
        <v>149</v>
      </c>
      <c r="E23" s="6" t="s">
        <v>245</v>
      </c>
      <c r="F23" s="7">
        <v>-2</v>
      </c>
      <c r="H23" s="8">
        <f>N(G23)-N(F23)</f>
        <v>2</v>
      </c>
      <c r="I23" s="6" t="s">
        <v>168</v>
      </c>
      <c r="J23" s="6" t="s">
        <v>133</v>
      </c>
      <c r="K23" s="6" t="s">
        <v>170</v>
      </c>
      <c r="L23" s="6" t="s">
        <v>133</v>
      </c>
      <c r="M23" s="6" t="s">
        <v>246</v>
      </c>
      <c r="N23" s="6" t="s">
        <v>247</v>
      </c>
    </row>
    <row r="24" spans="1:14" x14ac:dyDescent="0.25">
      <c r="A24" s="6" t="s">
        <v>147</v>
      </c>
      <c r="B24" s="6">
        <v>6</v>
      </c>
      <c r="C24" s="6" t="s">
        <v>248</v>
      </c>
      <c r="D24" s="6" t="s">
        <v>203</v>
      </c>
      <c r="E24" s="6" t="s">
        <v>249</v>
      </c>
      <c r="F24" s="7">
        <v>-2</v>
      </c>
      <c r="H24" s="8">
        <f>N(G24)-N(F24)</f>
        <v>2</v>
      </c>
      <c r="I24" s="6" t="s">
        <v>168</v>
      </c>
      <c r="J24" s="6" t="s">
        <v>133</v>
      </c>
      <c r="K24" s="6" t="s">
        <v>211</v>
      </c>
      <c r="L24" s="6" t="s">
        <v>133</v>
      </c>
      <c r="M24" s="6" t="s">
        <v>250</v>
      </c>
      <c r="N24" s="6" t="s">
        <v>251</v>
      </c>
    </row>
    <row r="25" spans="1:14" x14ac:dyDescent="0.25">
      <c r="A25" s="6" t="s">
        <v>160</v>
      </c>
      <c r="B25" s="6">
        <v>50</v>
      </c>
      <c r="C25" s="6" t="s">
        <v>252</v>
      </c>
      <c r="D25" s="6" t="s">
        <v>162</v>
      </c>
      <c r="E25" s="6" t="s">
        <v>253</v>
      </c>
      <c r="F25" s="7">
        <v>-2</v>
      </c>
      <c r="G25" s="7">
        <v>0</v>
      </c>
      <c r="H25" s="8">
        <f>N(G25)-N(F25)</f>
        <v>2</v>
      </c>
      <c r="I25" s="6" t="s">
        <v>151</v>
      </c>
      <c r="J25" s="6" t="s">
        <v>151</v>
      </c>
      <c r="K25" s="6" t="s">
        <v>164</v>
      </c>
      <c r="L25" s="6" t="s">
        <v>164</v>
      </c>
      <c r="M25" s="6" t="s">
        <v>254</v>
      </c>
      <c r="N25" s="6" t="s">
        <v>255</v>
      </c>
    </row>
    <row r="26" spans="1:14" x14ac:dyDescent="0.25">
      <c r="A26" s="6" t="s">
        <v>160</v>
      </c>
      <c r="B26" s="6">
        <v>50</v>
      </c>
      <c r="C26" s="6" t="s">
        <v>252</v>
      </c>
      <c r="D26" s="6" t="s">
        <v>149</v>
      </c>
      <c r="E26" s="6" t="s">
        <v>256</v>
      </c>
      <c r="F26" s="7">
        <v>-3</v>
      </c>
      <c r="G26" s="7">
        <v>-1</v>
      </c>
      <c r="H26" s="8">
        <f>N(G26)-N(F26)</f>
        <v>2</v>
      </c>
      <c r="I26" s="6" t="s">
        <v>168</v>
      </c>
      <c r="J26" s="6" t="s">
        <v>168</v>
      </c>
      <c r="K26" s="6" t="s">
        <v>169</v>
      </c>
      <c r="L26" s="6" t="s">
        <v>170</v>
      </c>
      <c r="M26" s="6" t="s">
        <v>257</v>
      </c>
      <c r="N26" s="6" t="s">
        <v>258</v>
      </c>
    </row>
    <row r="27" spans="1:14" x14ac:dyDescent="0.25">
      <c r="A27" s="6" t="s">
        <v>147</v>
      </c>
      <c r="B27" s="6">
        <v>15</v>
      </c>
      <c r="C27" s="6" t="s">
        <v>259</v>
      </c>
      <c r="D27" s="6" t="s">
        <v>203</v>
      </c>
      <c r="E27" s="6" t="s">
        <v>260</v>
      </c>
      <c r="F27" s="7">
        <v>-2</v>
      </c>
      <c r="H27" s="8">
        <f>N(G27)-N(F27)</f>
        <v>2</v>
      </c>
      <c r="I27" s="6" t="s">
        <v>168</v>
      </c>
      <c r="J27" s="6" t="s">
        <v>133</v>
      </c>
      <c r="K27" s="6" t="s">
        <v>211</v>
      </c>
      <c r="L27" s="6" t="s">
        <v>133</v>
      </c>
      <c r="M27" s="6" t="s">
        <v>261</v>
      </c>
      <c r="N27" s="6" t="s">
        <v>262</v>
      </c>
    </row>
    <row r="28" spans="1:14" x14ac:dyDescent="0.25">
      <c r="A28" s="6" t="s">
        <v>147</v>
      </c>
      <c r="B28" s="6">
        <v>15</v>
      </c>
      <c r="C28" s="6" t="s">
        <v>263</v>
      </c>
      <c r="D28" s="6" t="s">
        <v>203</v>
      </c>
      <c r="E28" s="6" t="s">
        <v>264</v>
      </c>
      <c r="F28" s="7">
        <v>-2</v>
      </c>
      <c r="H28" s="8">
        <f>N(G28)-N(F28)</f>
        <v>2</v>
      </c>
      <c r="I28" s="6" t="s">
        <v>168</v>
      </c>
      <c r="J28" s="6" t="s">
        <v>133</v>
      </c>
      <c r="K28" s="6" t="s">
        <v>211</v>
      </c>
      <c r="L28" s="6" t="s">
        <v>133</v>
      </c>
      <c r="M28" s="6" t="s">
        <v>265</v>
      </c>
      <c r="N28" s="6" t="s">
        <v>266</v>
      </c>
    </row>
    <row r="29" spans="1:14" x14ac:dyDescent="0.25">
      <c r="A29" s="6" t="s">
        <v>160</v>
      </c>
      <c r="B29" s="6">
        <v>43</v>
      </c>
      <c r="C29" s="6" t="s">
        <v>267</v>
      </c>
      <c r="D29" s="6" t="s">
        <v>162</v>
      </c>
      <c r="E29" s="6" t="s">
        <v>268</v>
      </c>
      <c r="F29" s="7">
        <v>3</v>
      </c>
      <c r="G29" s="7">
        <v>4</v>
      </c>
      <c r="H29" s="8">
        <f>N(G29)-N(F29)</f>
        <v>1</v>
      </c>
      <c r="I29" s="6" t="s">
        <v>151</v>
      </c>
      <c r="J29" s="6" t="s">
        <v>151</v>
      </c>
      <c r="K29" s="6" t="s">
        <v>164</v>
      </c>
      <c r="L29" s="6" t="s">
        <v>164</v>
      </c>
      <c r="M29" s="6" t="s">
        <v>269</v>
      </c>
      <c r="N29" s="6" t="s">
        <v>270</v>
      </c>
    </row>
    <row r="30" spans="1:14" x14ac:dyDescent="0.25">
      <c r="A30" s="6" t="s">
        <v>160</v>
      </c>
      <c r="B30" s="6">
        <v>43</v>
      </c>
      <c r="C30" s="6" t="s">
        <v>267</v>
      </c>
      <c r="D30" s="6" t="s">
        <v>149</v>
      </c>
      <c r="E30" s="6" t="s">
        <v>271</v>
      </c>
      <c r="F30" s="7">
        <v>-2</v>
      </c>
      <c r="G30" s="7">
        <v>-1</v>
      </c>
      <c r="H30" s="8">
        <f>N(G30)-N(F30)</f>
        <v>1</v>
      </c>
      <c r="I30" s="6" t="s">
        <v>168</v>
      </c>
      <c r="J30" s="6" t="s">
        <v>168</v>
      </c>
      <c r="K30" s="6" t="s">
        <v>169</v>
      </c>
      <c r="L30" s="6" t="s">
        <v>170</v>
      </c>
      <c r="M30" s="6" t="s">
        <v>272</v>
      </c>
      <c r="N30" s="6" t="s">
        <v>273</v>
      </c>
    </row>
    <row r="31" spans="1:14" x14ac:dyDescent="0.25">
      <c r="A31" s="6" t="s">
        <v>160</v>
      </c>
      <c r="B31" s="6">
        <v>2</v>
      </c>
      <c r="C31" s="6" t="s">
        <v>274</v>
      </c>
      <c r="D31" s="6" t="s">
        <v>162</v>
      </c>
      <c r="E31" s="6" t="s">
        <v>275</v>
      </c>
      <c r="F31" s="7">
        <v>-1</v>
      </c>
      <c r="G31" s="7">
        <v>0</v>
      </c>
      <c r="H31" s="8">
        <f>N(G31)-N(F31)</f>
        <v>1</v>
      </c>
      <c r="I31" s="6" t="s">
        <v>151</v>
      </c>
      <c r="J31" s="6" t="s">
        <v>151</v>
      </c>
      <c r="K31" s="6" t="s">
        <v>164</v>
      </c>
      <c r="L31" s="6" t="s">
        <v>164</v>
      </c>
      <c r="M31" s="6" t="s">
        <v>276</v>
      </c>
      <c r="N31" s="6" t="s">
        <v>277</v>
      </c>
    </row>
    <row r="32" spans="1:14" x14ac:dyDescent="0.25">
      <c r="A32" s="6" t="s">
        <v>160</v>
      </c>
      <c r="B32" s="6">
        <v>2</v>
      </c>
      <c r="C32" s="6" t="s">
        <v>274</v>
      </c>
      <c r="D32" s="6" t="s">
        <v>149</v>
      </c>
      <c r="E32" s="6" t="s">
        <v>278</v>
      </c>
      <c r="F32" s="7">
        <v>-2</v>
      </c>
      <c r="G32" s="7">
        <v>-1</v>
      </c>
      <c r="H32" s="8">
        <f>N(G32)-N(F32)</f>
        <v>1</v>
      </c>
      <c r="I32" s="6" t="s">
        <v>168</v>
      </c>
      <c r="J32" s="6" t="s">
        <v>168</v>
      </c>
      <c r="K32" s="6" t="s">
        <v>169</v>
      </c>
      <c r="L32" s="6" t="s">
        <v>170</v>
      </c>
      <c r="M32" s="6" t="s">
        <v>279</v>
      </c>
      <c r="N32" s="6" t="s">
        <v>280</v>
      </c>
    </row>
    <row r="33" spans="1:14" x14ac:dyDescent="0.25">
      <c r="A33" s="6" t="s">
        <v>160</v>
      </c>
      <c r="B33" s="6">
        <v>50</v>
      </c>
      <c r="C33" s="6" t="s">
        <v>281</v>
      </c>
      <c r="D33" s="6" t="s">
        <v>162</v>
      </c>
      <c r="E33" s="6" t="s">
        <v>282</v>
      </c>
      <c r="F33" s="7">
        <v>-1</v>
      </c>
      <c r="G33" s="7">
        <v>0</v>
      </c>
      <c r="H33" s="8">
        <f>N(G33)-N(F33)</f>
        <v>1</v>
      </c>
      <c r="I33" s="6" t="s">
        <v>151</v>
      </c>
      <c r="J33" s="6" t="s">
        <v>151</v>
      </c>
      <c r="K33" s="6" t="s">
        <v>164</v>
      </c>
      <c r="L33" s="6" t="s">
        <v>164</v>
      </c>
      <c r="M33" s="6" t="s">
        <v>283</v>
      </c>
      <c r="N33" s="6" t="s">
        <v>284</v>
      </c>
    </row>
    <row r="34" spans="1:14" x14ac:dyDescent="0.25">
      <c r="A34" s="6" t="s">
        <v>160</v>
      </c>
      <c r="B34" s="6">
        <v>50</v>
      </c>
      <c r="C34" s="6" t="s">
        <v>281</v>
      </c>
      <c r="D34" s="6" t="s">
        <v>149</v>
      </c>
      <c r="E34" s="6" t="s">
        <v>285</v>
      </c>
      <c r="F34" s="7">
        <v>-2</v>
      </c>
      <c r="G34" s="7">
        <v>-1</v>
      </c>
      <c r="H34" s="8">
        <f>N(G34)-N(F34)</f>
        <v>1</v>
      </c>
      <c r="I34" s="6" t="s">
        <v>168</v>
      </c>
      <c r="J34" s="6" t="s">
        <v>168</v>
      </c>
      <c r="K34" s="6" t="s">
        <v>169</v>
      </c>
      <c r="L34" s="6" t="s">
        <v>170</v>
      </c>
      <c r="M34" s="6" t="s">
        <v>286</v>
      </c>
      <c r="N34" s="6" t="s">
        <v>287</v>
      </c>
    </row>
    <row r="35" spans="1:14" x14ac:dyDescent="0.25">
      <c r="A35" s="6" t="s">
        <v>147</v>
      </c>
      <c r="B35" s="6">
        <v>27</v>
      </c>
      <c r="C35" s="6" t="s">
        <v>288</v>
      </c>
      <c r="D35" s="6" t="s">
        <v>149</v>
      </c>
      <c r="E35" s="6" t="s">
        <v>289</v>
      </c>
      <c r="F35" s="7">
        <v>-1</v>
      </c>
      <c r="H35" s="8">
        <f>N(G35)-N(F35)</f>
        <v>1</v>
      </c>
      <c r="I35" s="6" t="s">
        <v>151</v>
      </c>
      <c r="J35" s="6" t="s">
        <v>133</v>
      </c>
      <c r="K35" s="6" t="s">
        <v>157</v>
      </c>
      <c r="L35" s="6" t="s">
        <v>133</v>
      </c>
      <c r="M35" s="6" t="s">
        <v>290</v>
      </c>
      <c r="N35" s="6" t="s">
        <v>291</v>
      </c>
    </row>
    <row r="36" spans="1:14" x14ac:dyDescent="0.25">
      <c r="A36" s="6" t="s">
        <v>160</v>
      </c>
      <c r="B36" s="6">
        <v>50</v>
      </c>
      <c r="C36" s="6" t="s">
        <v>292</v>
      </c>
      <c r="D36" s="6" t="s">
        <v>149</v>
      </c>
      <c r="E36" s="6" t="s">
        <v>293</v>
      </c>
      <c r="F36" s="7">
        <v>-2</v>
      </c>
      <c r="G36" s="7">
        <v>-1</v>
      </c>
      <c r="H36" s="8">
        <f>N(G36)-N(F36)</f>
        <v>1</v>
      </c>
      <c r="I36" s="6" t="s">
        <v>151</v>
      </c>
      <c r="J36" s="6" t="s">
        <v>151</v>
      </c>
      <c r="K36" s="6" t="s">
        <v>152</v>
      </c>
      <c r="L36" s="6" t="s">
        <v>157</v>
      </c>
      <c r="M36" s="6" t="s">
        <v>294</v>
      </c>
      <c r="N36" s="6" t="s">
        <v>295</v>
      </c>
    </row>
    <row r="37" spans="1:14" x14ac:dyDescent="0.25">
      <c r="A37" s="6" t="s">
        <v>160</v>
      </c>
      <c r="B37" s="6">
        <v>29</v>
      </c>
      <c r="C37" s="6" t="s">
        <v>296</v>
      </c>
      <c r="D37" s="6" t="s">
        <v>162</v>
      </c>
      <c r="E37" s="6" t="s">
        <v>297</v>
      </c>
      <c r="F37" s="7">
        <v>-1</v>
      </c>
      <c r="G37" s="7">
        <v>0</v>
      </c>
      <c r="H37" s="8">
        <f>N(G37)-N(F37)</f>
        <v>1</v>
      </c>
      <c r="I37" s="6" t="s">
        <v>151</v>
      </c>
      <c r="J37" s="6" t="s">
        <v>151</v>
      </c>
      <c r="K37" s="6" t="s">
        <v>164</v>
      </c>
      <c r="L37" s="6" t="s">
        <v>164</v>
      </c>
      <c r="M37" s="6" t="s">
        <v>298</v>
      </c>
      <c r="N37" s="6" t="s">
        <v>299</v>
      </c>
    </row>
    <row r="38" spans="1:14" x14ac:dyDescent="0.25">
      <c r="A38" s="6" t="s">
        <v>160</v>
      </c>
      <c r="B38" s="6">
        <v>29</v>
      </c>
      <c r="C38" s="6" t="s">
        <v>296</v>
      </c>
      <c r="D38" s="6" t="s">
        <v>149</v>
      </c>
      <c r="E38" s="6" t="s">
        <v>300</v>
      </c>
      <c r="F38" s="7">
        <v>-2</v>
      </c>
      <c r="G38" s="7">
        <v>-1</v>
      </c>
      <c r="H38" s="8">
        <f>N(G38)-N(F38)</f>
        <v>1</v>
      </c>
      <c r="I38" s="6" t="s">
        <v>168</v>
      </c>
      <c r="J38" s="6" t="s">
        <v>168</v>
      </c>
      <c r="K38" s="6" t="s">
        <v>169</v>
      </c>
      <c r="L38" s="6" t="s">
        <v>170</v>
      </c>
      <c r="M38" s="6" t="s">
        <v>301</v>
      </c>
      <c r="N38" s="6" t="s">
        <v>302</v>
      </c>
    </row>
    <row r="39" spans="1:14" x14ac:dyDescent="0.25">
      <c r="A39" s="6" t="s">
        <v>160</v>
      </c>
      <c r="B39" s="6">
        <v>19</v>
      </c>
      <c r="C39" s="6" t="s">
        <v>303</v>
      </c>
      <c r="D39" s="6" t="s">
        <v>162</v>
      </c>
      <c r="E39" s="6" t="s">
        <v>304</v>
      </c>
      <c r="F39" s="7">
        <v>-2</v>
      </c>
      <c r="G39" s="7">
        <v>-1</v>
      </c>
      <c r="H39" s="8">
        <f>N(G39)-N(F39)</f>
        <v>1</v>
      </c>
      <c r="I39" s="6" t="s">
        <v>151</v>
      </c>
      <c r="J39" s="6" t="s">
        <v>151</v>
      </c>
      <c r="K39" s="6" t="s">
        <v>164</v>
      </c>
      <c r="L39" s="6" t="s">
        <v>164</v>
      </c>
      <c r="M39" s="6" t="s">
        <v>305</v>
      </c>
      <c r="N39" s="6" t="s">
        <v>306</v>
      </c>
    </row>
    <row r="40" spans="1:14" x14ac:dyDescent="0.25">
      <c r="A40" s="6" t="s">
        <v>160</v>
      </c>
      <c r="B40" s="6">
        <v>19</v>
      </c>
      <c r="C40" s="6" t="s">
        <v>303</v>
      </c>
      <c r="D40" s="6" t="s">
        <v>149</v>
      </c>
      <c r="E40" s="6" t="s">
        <v>307</v>
      </c>
      <c r="F40" s="7">
        <v>-3</v>
      </c>
      <c r="G40" s="7">
        <v>-2</v>
      </c>
      <c r="H40" s="8">
        <f>N(G40)-N(F40)</f>
        <v>1</v>
      </c>
      <c r="I40" s="6" t="s">
        <v>168</v>
      </c>
      <c r="J40" s="6" t="s">
        <v>168</v>
      </c>
      <c r="K40" s="6" t="s">
        <v>169</v>
      </c>
      <c r="L40" s="6" t="s">
        <v>169</v>
      </c>
      <c r="M40" s="6" t="s">
        <v>308</v>
      </c>
      <c r="N40" s="6" t="s">
        <v>309</v>
      </c>
    </row>
    <row r="41" spans="1:14" x14ac:dyDescent="0.25">
      <c r="A41" s="6" t="s">
        <v>160</v>
      </c>
      <c r="B41" s="6">
        <v>45</v>
      </c>
      <c r="C41" s="6" t="s">
        <v>310</v>
      </c>
      <c r="D41" s="6" t="s">
        <v>149</v>
      </c>
      <c r="E41" s="6" t="s">
        <v>311</v>
      </c>
      <c r="F41" s="7">
        <v>-2</v>
      </c>
      <c r="G41" s="7">
        <v>-1</v>
      </c>
      <c r="H41" s="8">
        <f>N(G41)-N(F41)</f>
        <v>1</v>
      </c>
      <c r="I41" s="6" t="s">
        <v>151</v>
      </c>
      <c r="J41" s="6" t="s">
        <v>151</v>
      </c>
      <c r="K41" s="6" t="s">
        <v>152</v>
      </c>
      <c r="L41" s="6" t="s">
        <v>157</v>
      </c>
      <c r="M41" s="6" t="s">
        <v>312</v>
      </c>
      <c r="N41" s="6" t="s">
        <v>313</v>
      </c>
    </row>
    <row r="42" spans="1:14" x14ac:dyDescent="0.25">
      <c r="A42" s="6" t="s">
        <v>160</v>
      </c>
      <c r="B42" s="6">
        <v>41</v>
      </c>
      <c r="C42" s="6" t="s">
        <v>314</v>
      </c>
      <c r="D42" s="6" t="s">
        <v>149</v>
      </c>
      <c r="E42" s="6" t="s">
        <v>315</v>
      </c>
      <c r="F42" s="7">
        <v>-2</v>
      </c>
      <c r="G42" s="7">
        <v>-1</v>
      </c>
      <c r="H42" s="8">
        <f>N(G42)-N(F42)</f>
        <v>1</v>
      </c>
      <c r="I42" s="6" t="s">
        <v>151</v>
      </c>
      <c r="J42" s="6" t="s">
        <v>151</v>
      </c>
      <c r="K42" s="6" t="s">
        <v>152</v>
      </c>
      <c r="L42" s="6" t="s">
        <v>157</v>
      </c>
      <c r="M42" s="6" t="s">
        <v>316</v>
      </c>
      <c r="N42" s="6" t="s">
        <v>280</v>
      </c>
    </row>
    <row r="43" spans="1:14" x14ac:dyDescent="0.25">
      <c r="A43" s="6" t="s">
        <v>160</v>
      </c>
      <c r="B43" s="6">
        <v>13</v>
      </c>
      <c r="C43" s="6" t="s">
        <v>317</v>
      </c>
      <c r="D43" s="6" t="s">
        <v>203</v>
      </c>
      <c r="E43" s="6" t="s">
        <v>318</v>
      </c>
      <c r="F43" s="7">
        <v>-2</v>
      </c>
      <c r="G43" s="7">
        <v>-1</v>
      </c>
      <c r="H43" s="8">
        <f>N(G43)-N(F43)</f>
        <v>1</v>
      </c>
      <c r="I43" s="6" t="s">
        <v>168</v>
      </c>
      <c r="J43" s="6" t="s">
        <v>168</v>
      </c>
      <c r="K43" s="6" t="s">
        <v>319</v>
      </c>
      <c r="L43" s="6" t="s">
        <v>211</v>
      </c>
      <c r="M43" s="6" t="s">
        <v>320</v>
      </c>
      <c r="N43" s="6" t="s">
        <v>321</v>
      </c>
    </row>
    <row r="44" spans="1:14" x14ac:dyDescent="0.25">
      <c r="A44" s="6" t="s">
        <v>160</v>
      </c>
      <c r="B44" s="6">
        <v>50</v>
      </c>
      <c r="C44" s="6" t="s">
        <v>322</v>
      </c>
      <c r="D44" s="6" t="s">
        <v>149</v>
      </c>
      <c r="E44" s="6" t="s">
        <v>323</v>
      </c>
      <c r="F44" s="7">
        <v>-2</v>
      </c>
      <c r="G44" s="7">
        <v>-1</v>
      </c>
      <c r="H44" s="8">
        <f>N(G44)-N(F44)</f>
        <v>1</v>
      </c>
      <c r="I44" s="6" t="s">
        <v>151</v>
      </c>
      <c r="J44" s="6" t="s">
        <v>151</v>
      </c>
      <c r="K44" s="6" t="s">
        <v>152</v>
      </c>
      <c r="L44" s="6" t="s">
        <v>157</v>
      </c>
      <c r="M44" s="6" t="s">
        <v>324</v>
      </c>
      <c r="N44" s="6" t="s">
        <v>325</v>
      </c>
    </row>
    <row r="45" spans="1:14" x14ac:dyDescent="0.25">
      <c r="A45" s="6" t="s">
        <v>160</v>
      </c>
      <c r="B45" s="6">
        <v>41</v>
      </c>
      <c r="C45" s="6" t="s">
        <v>326</v>
      </c>
      <c r="D45" s="6" t="s">
        <v>149</v>
      </c>
      <c r="E45" s="6" t="s">
        <v>327</v>
      </c>
      <c r="F45" s="7">
        <v>-2</v>
      </c>
      <c r="G45" s="7">
        <v>-1</v>
      </c>
      <c r="H45" s="8">
        <f>N(G45)-N(F45)</f>
        <v>1</v>
      </c>
      <c r="I45" s="6" t="s">
        <v>151</v>
      </c>
      <c r="J45" s="6" t="s">
        <v>151</v>
      </c>
      <c r="K45" s="6" t="s">
        <v>152</v>
      </c>
      <c r="L45" s="6" t="s">
        <v>157</v>
      </c>
      <c r="M45" s="6" t="s">
        <v>328</v>
      </c>
      <c r="N45" s="6" t="s">
        <v>329</v>
      </c>
    </row>
    <row r="46" spans="1:14" x14ac:dyDescent="0.25">
      <c r="A46" s="6" t="s">
        <v>147</v>
      </c>
      <c r="B46" s="6">
        <v>25</v>
      </c>
      <c r="C46" s="6" t="s">
        <v>330</v>
      </c>
      <c r="D46" s="6" t="s">
        <v>149</v>
      </c>
      <c r="E46" s="6" t="s">
        <v>331</v>
      </c>
      <c r="F46" s="7">
        <v>0</v>
      </c>
      <c r="H46" s="8">
        <f>N(G46)-N(F46)</f>
        <v>0</v>
      </c>
      <c r="I46" s="6" t="s">
        <v>168</v>
      </c>
      <c r="J46" s="6" t="s">
        <v>133</v>
      </c>
      <c r="K46" s="6" t="s">
        <v>332</v>
      </c>
      <c r="L46" s="6" t="s">
        <v>133</v>
      </c>
      <c r="M46" s="6" t="s">
        <v>333</v>
      </c>
      <c r="N46" s="6" t="s">
        <v>334</v>
      </c>
    </row>
    <row r="47" spans="1:14" x14ac:dyDescent="0.25">
      <c r="A47" s="6" t="s">
        <v>147</v>
      </c>
      <c r="B47" s="6">
        <v>44</v>
      </c>
      <c r="C47" s="6" t="s">
        <v>335</v>
      </c>
      <c r="D47" s="6" t="s">
        <v>149</v>
      </c>
      <c r="E47" s="6" t="s">
        <v>336</v>
      </c>
      <c r="F47" s="7">
        <v>0</v>
      </c>
      <c r="H47" s="8">
        <f>N(G47)-N(F47)</f>
        <v>0</v>
      </c>
      <c r="I47" s="6" t="s">
        <v>168</v>
      </c>
      <c r="J47" s="6" t="s">
        <v>133</v>
      </c>
      <c r="K47" s="6" t="s">
        <v>337</v>
      </c>
      <c r="L47" s="6" t="s">
        <v>133</v>
      </c>
      <c r="M47" s="6" t="s">
        <v>338</v>
      </c>
      <c r="N47" s="6" t="s">
        <v>339</v>
      </c>
    </row>
    <row r="48" spans="1:14" x14ac:dyDescent="0.25">
      <c r="A48" s="6" t="s">
        <v>147</v>
      </c>
      <c r="B48" s="6">
        <v>21</v>
      </c>
      <c r="C48" s="6" t="s">
        <v>340</v>
      </c>
      <c r="D48" s="6" t="s">
        <v>203</v>
      </c>
      <c r="E48" s="6" t="s">
        <v>341</v>
      </c>
      <c r="F48" s="7">
        <v>0</v>
      </c>
      <c r="H48" s="8">
        <f>N(G48)-N(F48)</f>
        <v>0</v>
      </c>
      <c r="I48" s="6" t="s">
        <v>168</v>
      </c>
      <c r="J48" s="6" t="s">
        <v>133</v>
      </c>
      <c r="K48" s="6" t="s">
        <v>342</v>
      </c>
      <c r="L48" s="6" t="s">
        <v>133</v>
      </c>
      <c r="M48" s="6" t="s">
        <v>343</v>
      </c>
      <c r="N48" s="6" t="s">
        <v>344</v>
      </c>
    </row>
    <row r="49" spans="1:14" x14ac:dyDescent="0.25">
      <c r="A49" s="6" t="s">
        <v>147</v>
      </c>
      <c r="B49" s="6">
        <v>24</v>
      </c>
      <c r="C49" s="6" t="s">
        <v>345</v>
      </c>
      <c r="D49" s="6" t="s">
        <v>149</v>
      </c>
      <c r="E49" s="6" t="s">
        <v>346</v>
      </c>
      <c r="F49" s="7">
        <v>0</v>
      </c>
      <c r="H49" s="8">
        <f>N(G49)-N(F49)</f>
        <v>0</v>
      </c>
      <c r="I49" s="6" t="s">
        <v>168</v>
      </c>
      <c r="J49" s="6" t="s">
        <v>133</v>
      </c>
      <c r="K49" s="6" t="s">
        <v>347</v>
      </c>
      <c r="L49" s="6" t="s">
        <v>133</v>
      </c>
      <c r="M49" s="6" t="s">
        <v>348</v>
      </c>
      <c r="N49" s="6" t="s">
        <v>349</v>
      </c>
    </row>
    <row r="50" spans="1:14" x14ac:dyDescent="0.25">
      <c r="A50" s="6" t="s">
        <v>147</v>
      </c>
      <c r="B50" s="6">
        <v>26</v>
      </c>
      <c r="C50" s="6" t="s">
        <v>350</v>
      </c>
      <c r="D50" s="6" t="s">
        <v>149</v>
      </c>
      <c r="E50" s="6" t="s">
        <v>351</v>
      </c>
      <c r="F50" s="7">
        <v>0</v>
      </c>
      <c r="H50" s="8">
        <f>N(G50)-N(F50)</f>
        <v>0</v>
      </c>
      <c r="I50" s="6" t="s">
        <v>168</v>
      </c>
      <c r="J50" s="6" t="s">
        <v>133</v>
      </c>
      <c r="K50" s="6" t="s">
        <v>347</v>
      </c>
      <c r="L50" s="6" t="s">
        <v>133</v>
      </c>
      <c r="M50" s="6" t="s">
        <v>352</v>
      </c>
      <c r="N50" s="6" t="s">
        <v>353</v>
      </c>
    </row>
    <row r="51" spans="1:14" x14ac:dyDescent="0.25">
      <c r="A51" s="6" t="s">
        <v>147</v>
      </c>
      <c r="B51" s="6">
        <v>1</v>
      </c>
      <c r="C51" s="6" t="s">
        <v>354</v>
      </c>
      <c r="D51" s="6" t="s">
        <v>149</v>
      </c>
      <c r="E51" s="6" t="s">
        <v>355</v>
      </c>
      <c r="F51" s="7">
        <v>0</v>
      </c>
      <c r="H51" s="8">
        <f>N(G51)-N(F51)</f>
        <v>0</v>
      </c>
      <c r="I51" s="6" t="s">
        <v>168</v>
      </c>
      <c r="J51" s="6" t="s">
        <v>133</v>
      </c>
      <c r="K51" s="6" t="s">
        <v>337</v>
      </c>
      <c r="L51" s="6" t="s">
        <v>133</v>
      </c>
      <c r="M51" s="6" t="s">
        <v>356</v>
      </c>
      <c r="N51" s="6" t="s">
        <v>357</v>
      </c>
    </row>
    <row r="52" spans="1:14" x14ac:dyDescent="0.25">
      <c r="A52" s="6" t="s">
        <v>147</v>
      </c>
      <c r="B52" s="6">
        <v>27</v>
      </c>
      <c r="C52" s="6" t="s">
        <v>358</v>
      </c>
      <c r="D52" s="6" t="s">
        <v>149</v>
      </c>
      <c r="E52" s="6" t="s">
        <v>359</v>
      </c>
      <c r="F52" s="7">
        <v>0</v>
      </c>
      <c r="H52" s="8">
        <f>N(G52)-N(F52)</f>
        <v>0</v>
      </c>
      <c r="I52" s="6" t="s">
        <v>168</v>
      </c>
      <c r="J52" s="6" t="s">
        <v>133</v>
      </c>
      <c r="K52" s="6" t="s">
        <v>332</v>
      </c>
      <c r="L52" s="6" t="s">
        <v>133</v>
      </c>
      <c r="M52" s="6" t="s">
        <v>360</v>
      </c>
      <c r="N52" s="6" t="s">
        <v>361</v>
      </c>
    </row>
    <row r="53" spans="1:14" x14ac:dyDescent="0.25">
      <c r="A53" s="6" t="s">
        <v>147</v>
      </c>
      <c r="B53" s="6">
        <v>26</v>
      </c>
      <c r="C53" s="6" t="s">
        <v>362</v>
      </c>
      <c r="D53" s="6" t="s">
        <v>203</v>
      </c>
      <c r="E53" s="6" t="s">
        <v>363</v>
      </c>
      <c r="F53" s="7">
        <v>0</v>
      </c>
      <c r="H53" s="8">
        <f>N(G53)-N(F53)</f>
        <v>0</v>
      </c>
      <c r="I53" s="6" t="s">
        <v>168</v>
      </c>
      <c r="J53" s="6" t="s">
        <v>133</v>
      </c>
      <c r="K53" s="6" t="s">
        <v>319</v>
      </c>
      <c r="L53" s="6" t="s">
        <v>133</v>
      </c>
      <c r="M53" s="6" t="s">
        <v>364</v>
      </c>
      <c r="N53" s="6" t="s">
        <v>365</v>
      </c>
    </row>
    <row r="54" spans="1:14" x14ac:dyDescent="0.25">
      <c r="A54" s="6" t="s">
        <v>147</v>
      </c>
      <c r="B54" s="6">
        <v>3</v>
      </c>
      <c r="C54" s="6" t="s">
        <v>366</v>
      </c>
      <c r="D54" s="6" t="s">
        <v>149</v>
      </c>
      <c r="E54" s="6" t="s">
        <v>367</v>
      </c>
      <c r="F54" s="7">
        <v>0</v>
      </c>
      <c r="H54" s="8">
        <f>N(G54)-N(F54)</f>
        <v>0</v>
      </c>
      <c r="I54" s="6" t="s">
        <v>168</v>
      </c>
      <c r="J54" s="6" t="s">
        <v>133</v>
      </c>
      <c r="K54" s="6" t="s">
        <v>337</v>
      </c>
      <c r="L54" s="6" t="s">
        <v>133</v>
      </c>
      <c r="M54" s="6" t="s">
        <v>368</v>
      </c>
      <c r="N54" s="6" t="s">
        <v>369</v>
      </c>
    </row>
    <row r="55" spans="1:14" x14ac:dyDescent="0.25">
      <c r="A55" s="6" t="s">
        <v>147</v>
      </c>
      <c r="B55" s="6">
        <v>32</v>
      </c>
      <c r="C55" s="6" t="s">
        <v>370</v>
      </c>
      <c r="D55" s="6" t="s">
        <v>149</v>
      </c>
      <c r="E55" s="6" t="s">
        <v>371</v>
      </c>
      <c r="F55" s="7">
        <v>0</v>
      </c>
      <c r="H55" s="8">
        <f>N(G55)-N(F55)</f>
        <v>0</v>
      </c>
      <c r="I55" s="6" t="s">
        <v>168</v>
      </c>
      <c r="J55" s="6" t="s">
        <v>133</v>
      </c>
      <c r="K55" s="6" t="s">
        <v>337</v>
      </c>
      <c r="L55" s="6" t="s">
        <v>133</v>
      </c>
      <c r="M55" s="6" t="s">
        <v>372</v>
      </c>
      <c r="N55" s="6" t="s">
        <v>373</v>
      </c>
    </row>
    <row r="56" spans="1:14" x14ac:dyDescent="0.25">
      <c r="A56" s="6" t="s">
        <v>147</v>
      </c>
      <c r="B56" s="6">
        <v>27</v>
      </c>
      <c r="C56" s="6" t="s">
        <v>374</v>
      </c>
      <c r="D56" s="6" t="s">
        <v>149</v>
      </c>
      <c r="E56" s="6" t="s">
        <v>375</v>
      </c>
      <c r="F56" s="7">
        <v>0</v>
      </c>
      <c r="H56" s="8">
        <f>N(G56)-N(F56)</f>
        <v>0</v>
      </c>
      <c r="I56" s="6" t="s">
        <v>168</v>
      </c>
      <c r="J56" s="6" t="s">
        <v>133</v>
      </c>
      <c r="K56" s="6" t="s">
        <v>347</v>
      </c>
      <c r="L56" s="6" t="s">
        <v>133</v>
      </c>
      <c r="M56" s="6" t="s">
        <v>376</v>
      </c>
      <c r="N56" s="6" t="s">
        <v>377</v>
      </c>
    </row>
    <row r="57" spans="1:14" x14ac:dyDescent="0.25">
      <c r="A57" s="6" t="s">
        <v>147</v>
      </c>
      <c r="B57" s="6">
        <v>28</v>
      </c>
      <c r="C57" s="6" t="s">
        <v>378</v>
      </c>
      <c r="D57" s="6" t="s">
        <v>203</v>
      </c>
      <c r="E57" s="6" t="s">
        <v>379</v>
      </c>
      <c r="F57" s="7">
        <v>0</v>
      </c>
      <c r="H57" s="8">
        <f>N(G57)-N(F57)</f>
        <v>0</v>
      </c>
      <c r="I57" s="6" t="s">
        <v>168</v>
      </c>
      <c r="J57" s="6" t="s">
        <v>133</v>
      </c>
      <c r="K57" s="6" t="s">
        <v>342</v>
      </c>
      <c r="L57" s="6" t="s">
        <v>133</v>
      </c>
      <c r="M57" s="6" t="s">
        <v>380</v>
      </c>
      <c r="N57" s="6" t="s">
        <v>381</v>
      </c>
    </row>
    <row r="58" spans="1:14" x14ac:dyDescent="0.25">
      <c r="A58" s="6" t="s">
        <v>382</v>
      </c>
      <c r="B58" s="6">
        <v>12</v>
      </c>
      <c r="C58" s="6" t="s">
        <v>383</v>
      </c>
      <c r="D58" s="6" t="s">
        <v>149</v>
      </c>
      <c r="E58" s="6" t="s">
        <v>174</v>
      </c>
      <c r="F58" s="7">
        <v>0</v>
      </c>
      <c r="G58" s="7">
        <v>0</v>
      </c>
      <c r="H58" s="8">
        <f>N(G58)-N(F58)</f>
        <v>0</v>
      </c>
      <c r="I58" s="6" t="s">
        <v>168</v>
      </c>
      <c r="J58" s="6" t="s">
        <v>168</v>
      </c>
      <c r="K58" s="6" t="s">
        <v>221</v>
      </c>
      <c r="L58" s="6" t="s">
        <v>221</v>
      </c>
      <c r="M58" s="6" t="s">
        <v>384</v>
      </c>
      <c r="N58" s="6" t="s">
        <v>385</v>
      </c>
    </row>
    <row r="59" spans="1:14" x14ac:dyDescent="0.25">
      <c r="A59" s="6" t="s">
        <v>147</v>
      </c>
      <c r="B59" s="6">
        <v>33</v>
      </c>
      <c r="C59" s="6" t="s">
        <v>386</v>
      </c>
      <c r="D59" s="6" t="s">
        <v>149</v>
      </c>
      <c r="E59" s="6" t="s">
        <v>387</v>
      </c>
      <c r="F59" s="7">
        <v>0</v>
      </c>
      <c r="H59" s="8">
        <f>N(G59)-N(F59)</f>
        <v>0</v>
      </c>
      <c r="I59" s="6" t="s">
        <v>168</v>
      </c>
      <c r="J59" s="6" t="s">
        <v>133</v>
      </c>
      <c r="K59" s="6" t="s">
        <v>332</v>
      </c>
      <c r="L59" s="6" t="s">
        <v>133</v>
      </c>
      <c r="M59" s="6" t="s">
        <v>388</v>
      </c>
      <c r="N59" s="6" t="s">
        <v>389</v>
      </c>
    </row>
    <row r="60" spans="1:14" x14ac:dyDescent="0.25">
      <c r="A60" s="6" t="s">
        <v>147</v>
      </c>
      <c r="B60" s="6">
        <v>28</v>
      </c>
      <c r="C60" s="6" t="s">
        <v>390</v>
      </c>
      <c r="D60" s="6" t="s">
        <v>149</v>
      </c>
      <c r="E60" s="6" t="s">
        <v>391</v>
      </c>
      <c r="F60" s="7">
        <v>0</v>
      </c>
      <c r="H60" s="8">
        <f>N(G60)-N(F60)</f>
        <v>0</v>
      </c>
      <c r="I60" s="6" t="s">
        <v>168</v>
      </c>
      <c r="J60" s="6" t="s">
        <v>133</v>
      </c>
      <c r="K60" s="6" t="s">
        <v>337</v>
      </c>
      <c r="L60" s="6" t="s">
        <v>133</v>
      </c>
      <c r="M60" s="6" t="s">
        <v>392</v>
      </c>
      <c r="N60" s="6" t="s">
        <v>393</v>
      </c>
    </row>
    <row r="61" spans="1:14" x14ac:dyDescent="0.25">
      <c r="A61" s="6" t="s">
        <v>147</v>
      </c>
      <c r="B61" s="6">
        <v>11</v>
      </c>
      <c r="C61" s="6" t="s">
        <v>394</v>
      </c>
      <c r="D61" s="6" t="s">
        <v>149</v>
      </c>
      <c r="E61" s="6" t="s">
        <v>395</v>
      </c>
      <c r="F61" s="7">
        <v>0</v>
      </c>
      <c r="H61" s="8">
        <f>N(G61)-N(F61)</f>
        <v>0</v>
      </c>
      <c r="I61" s="6" t="s">
        <v>168</v>
      </c>
      <c r="J61" s="6" t="s">
        <v>133</v>
      </c>
      <c r="K61" s="6" t="s">
        <v>337</v>
      </c>
      <c r="L61" s="6" t="s">
        <v>133</v>
      </c>
      <c r="M61" s="6" t="s">
        <v>396</v>
      </c>
      <c r="N61" s="6" t="s">
        <v>397</v>
      </c>
    </row>
    <row r="62" spans="1:14" x14ac:dyDescent="0.25">
      <c r="A62" s="6" t="s">
        <v>147</v>
      </c>
      <c r="B62" s="6">
        <v>30</v>
      </c>
      <c r="C62" s="6" t="s">
        <v>398</v>
      </c>
      <c r="D62" s="6" t="s">
        <v>149</v>
      </c>
      <c r="E62" s="6" t="s">
        <v>371</v>
      </c>
      <c r="F62" s="7">
        <v>0</v>
      </c>
      <c r="H62" s="8">
        <f>N(G62)-N(F62)</f>
        <v>0</v>
      </c>
      <c r="I62" s="6" t="s">
        <v>168</v>
      </c>
      <c r="J62" s="6" t="s">
        <v>133</v>
      </c>
      <c r="K62" s="6" t="s">
        <v>337</v>
      </c>
      <c r="L62" s="6" t="s">
        <v>133</v>
      </c>
      <c r="M62" s="6" t="s">
        <v>399</v>
      </c>
      <c r="N62" s="6" t="s">
        <v>400</v>
      </c>
    </row>
    <row r="63" spans="1:14" x14ac:dyDescent="0.25">
      <c r="A63" s="6" t="s">
        <v>147</v>
      </c>
      <c r="B63" s="6">
        <v>23</v>
      </c>
      <c r="C63" s="6" t="s">
        <v>401</v>
      </c>
      <c r="D63" s="6" t="s">
        <v>149</v>
      </c>
      <c r="E63" s="6" t="s">
        <v>307</v>
      </c>
      <c r="F63" s="7">
        <v>0</v>
      </c>
      <c r="H63" s="8">
        <f>N(G63)-N(F63)</f>
        <v>0</v>
      </c>
      <c r="I63" s="6" t="s">
        <v>168</v>
      </c>
      <c r="J63" s="6" t="s">
        <v>133</v>
      </c>
      <c r="K63" s="6" t="s">
        <v>332</v>
      </c>
      <c r="L63" s="6" t="s">
        <v>133</v>
      </c>
      <c r="M63" s="6" t="s">
        <v>402</v>
      </c>
      <c r="N63" s="6" t="s">
        <v>403</v>
      </c>
    </row>
    <row r="64" spans="1:14" x14ac:dyDescent="0.25">
      <c r="A64" s="6" t="s">
        <v>147</v>
      </c>
      <c r="B64" s="6">
        <v>47</v>
      </c>
      <c r="C64" s="6" t="s">
        <v>404</v>
      </c>
      <c r="D64" s="6" t="s">
        <v>149</v>
      </c>
      <c r="E64" s="6" t="s">
        <v>405</v>
      </c>
      <c r="F64" s="7">
        <v>0</v>
      </c>
      <c r="H64" s="8">
        <f>N(G64)-N(F64)</f>
        <v>0</v>
      </c>
      <c r="I64" s="6" t="s">
        <v>168</v>
      </c>
      <c r="J64" s="6" t="s">
        <v>133</v>
      </c>
      <c r="K64" s="6" t="s">
        <v>347</v>
      </c>
      <c r="L64" s="6" t="s">
        <v>133</v>
      </c>
      <c r="M64" s="6" t="s">
        <v>406</v>
      </c>
      <c r="N64" s="6" t="s">
        <v>407</v>
      </c>
    </row>
    <row r="65" spans="1:14" x14ac:dyDescent="0.25">
      <c r="A65" s="6" t="s">
        <v>147</v>
      </c>
      <c r="B65" s="6">
        <v>37</v>
      </c>
      <c r="C65" s="6" t="s">
        <v>408</v>
      </c>
      <c r="D65" s="6" t="s">
        <v>149</v>
      </c>
      <c r="E65" s="6" t="s">
        <v>409</v>
      </c>
      <c r="F65" s="7">
        <v>0</v>
      </c>
      <c r="H65" s="8">
        <f>N(G65)-N(F65)</f>
        <v>0</v>
      </c>
      <c r="I65" s="6" t="s">
        <v>168</v>
      </c>
      <c r="J65" s="6" t="s">
        <v>133</v>
      </c>
      <c r="K65" s="6" t="s">
        <v>337</v>
      </c>
      <c r="L65" s="6" t="s">
        <v>133</v>
      </c>
      <c r="M65" s="6" t="s">
        <v>410</v>
      </c>
      <c r="N65" s="6" t="s">
        <v>411</v>
      </c>
    </row>
    <row r="66" spans="1:14" x14ac:dyDescent="0.25">
      <c r="A66" s="6" t="s">
        <v>147</v>
      </c>
      <c r="B66" s="6">
        <v>37</v>
      </c>
      <c r="C66" s="6" t="s">
        <v>412</v>
      </c>
      <c r="D66" s="6" t="s">
        <v>149</v>
      </c>
      <c r="E66" s="6" t="s">
        <v>409</v>
      </c>
      <c r="F66" s="7">
        <v>0</v>
      </c>
      <c r="H66" s="8">
        <f>N(G66)-N(F66)</f>
        <v>0</v>
      </c>
      <c r="I66" s="6" t="s">
        <v>168</v>
      </c>
      <c r="J66" s="6" t="s">
        <v>133</v>
      </c>
      <c r="K66" s="6" t="s">
        <v>332</v>
      </c>
      <c r="L66" s="6" t="s">
        <v>133</v>
      </c>
      <c r="M66" s="6" t="s">
        <v>413</v>
      </c>
      <c r="N66" s="6" t="s">
        <v>414</v>
      </c>
    </row>
    <row r="67" spans="1:14" x14ac:dyDescent="0.25">
      <c r="A67" s="6" t="s">
        <v>382</v>
      </c>
      <c r="B67" s="6">
        <v>9</v>
      </c>
      <c r="C67" s="6" t="s">
        <v>415</v>
      </c>
      <c r="D67" s="6" t="s">
        <v>149</v>
      </c>
      <c r="E67" s="6" t="s">
        <v>416</v>
      </c>
      <c r="F67" s="7">
        <v>0</v>
      </c>
      <c r="G67" s="7">
        <v>0</v>
      </c>
      <c r="H67" s="8">
        <f>N(G67)-N(F67)</f>
        <v>0</v>
      </c>
      <c r="I67" s="6" t="s">
        <v>168</v>
      </c>
      <c r="J67" s="6" t="s">
        <v>168</v>
      </c>
      <c r="K67" s="6" t="s">
        <v>221</v>
      </c>
      <c r="L67" s="6" t="s">
        <v>337</v>
      </c>
      <c r="M67" s="6" t="s">
        <v>417</v>
      </c>
      <c r="N67" s="6" t="s">
        <v>183</v>
      </c>
    </row>
    <row r="68" spans="1:14" x14ac:dyDescent="0.25">
      <c r="A68" s="6" t="s">
        <v>147</v>
      </c>
      <c r="B68" s="6">
        <v>37</v>
      </c>
      <c r="C68" s="6" t="s">
        <v>418</v>
      </c>
      <c r="D68" s="6" t="s">
        <v>149</v>
      </c>
      <c r="E68" s="6" t="s">
        <v>419</v>
      </c>
      <c r="F68" s="7">
        <v>0</v>
      </c>
      <c r="H68" s="8">
        <f>N(G68)-N(F68)</f>
        <v>0</v>
      </c>
      <c r="I68" s="6" t="s">
        <v>168</v>
      </c>
      <c r="J68" s="6" t="s">
        <v>133</v>
      </c>
      <c r="K68" s="6" t="s">
        <v>337</v>
      </c>
      <c r="L68" s="6" t="s">
        <v>133</v>
      </c>
      <c r="M68" s="6" t="s">
        <v>420</v>
      </c>
      <c r="N68" s="6" t="s">
        <v>421</v>
      </c>
    </row>
    <row r="69" spans="1:14" x14ac:dyDescent="0.25">
      <c r="A69" s="6" t="s">
        <v>147</v>
      </c>
      <c r="B69" s="6">
        <v>47</v>
      </c>
      <c r="C69" s="6" t="s">
        <v>422</v>
      </c>
      <c r="D69" s="6" t="s">
        <v>149</v>
      </c>
      <c r="E69" s="6" t="s">
        <v>423</v>
      </c>
      <c r="F69" s="7">
        <v>0</v>
      </c>
      <c r="H69" s="8">
        <f>N(G69)-N(F69)</f>
        <v>0</v>
      </c>
      <c r="I69" s="6" t="s">
        <v>168</v>
      </c>
      <c r="J69" s="6" t="s">
        <v>133</v>
      </c>
      <c r="K69" s="6" t="s">
        <v>337</v>
      </c>
      <c r="L69" s="6" t="s">
        <v>133</v>
      </c>
      <c r="M69" s="6" t="s">
        <v>424</v>
      </c>
      <c r="N69" s="6" t="s">
        <v>425</v>
      </c>
    </row>
    <row r="70" spans="1:14" x14ac:dyDescent="0.25">
      <c r="A70" s="6" t="s">
        <v>147</v>
      </c>
      <c r="B70" s="6">
        <v>12</v>
      </c>
      <c r="C70" s="6" t="s">
        <v>426</v>
      </c>
      <c r="D70" s="6" t="s">
        <v>149</v>
      </c>
      <c r="E70" s="6" t="s">
        <v>427</v>
      </c>
      <c r="F70" s="7">
        <v>0</v>
      </c>
      <c r="H70" s="8">
        <f>N(G70)-N(F70)</f>
        <v>0</v>
      </c>
      <c r="I70" s="6" t="s">
        <v>168</v>
      </c>
      <c r="J70" s="6" t="s">
        <v>133</v>
      </c>
      <c r="K70" s="6" t="s">
        <v>347</v>
      </c>
      <c r="L70" s="6" t="s">
        <v>133</v>
      </c>
      <c r="M70" s="6" t="s">
        <v>428</v>
      </c>
      <c r="N70" s="6" t="s">
        <v>429</v>
      </c>
    </row>
    <row r="71" spans="1:14" x14ac:dyDescent="0.25">
      <c r="A71" s="6" t="s">
        <v>147</v>
      </c>
      <c r="B71" s="6">
        <v>14</v>
      </c>
      <c r="C71" s="6" t="s">
        <v>430</v>
      </c>
      <c r="D71" s="6" t="s">
        <v>149</v>
      </c>
      <c r="E71" s="6" t="s">
        <v>431</v>
      </c>
      <c r="F71" s="7">
        <v>0</v>
      </c>
      <c r="H71" s="8">
        <f>N(G71)-N(F71)</f>
        <v>0</v>
      </c>
      <c r="I71" s="6" t="s">
        <v>168</v>
      </c>
      <c r="J71" s="6" t="s">
        <v>133</v>
      </c>
      <c r="K71" s="6" t="s">
        <v>347</v>
      </c>
      <c r="L71" s="6" t="s">
        <v>133</v>
      </c>
      <c r="M71" s="6" t="s">
        <v>432</v>
      </c>
      <c r="N71" s="6" t="s">
        <v>433</v>
      </c>
    </row>
    <row r="72" spans="1:14" x14ac:dyDescent="0.25">
      <c r="A72" s="6" t="s">
        <v>147</v>
      </c>
      <c r="B72" s="6">
        <v>27</v>
      </c>
      <c r="C72" s="6" t="s">
        <v>434</v>
      </c>
      <c r="D72" s="6" t="s">
        <v>149</v>
      </c>
      <c r="E72" s="6" t="s">
        <v>435</v>
      </c>
      <c r="F72" s="7">
        <v>0</v>
      </c>
      <c r="H72" s="8">
        <f>N(G72)-N(F72)</f>
        <v>0</v>
      </c>
      <c r="I72" s="6" t="s">
        <v>168</v>
      </c>
      <c r="J72" s="6" t="s">
        <v>133</v>
      </c>
      <c r="K72" s="6" t="s">
        <v>347</v>
      </c>
      <c r="L72" s="6" t="s">
        <v>133</v>
      </c>
      <c r="M72" s="6" t="s">
        <v>436</v>
      </c>
      <c r="N72" s="6" t="s">
        <v>437</v>
      </c>
    </row>
    <row r="73" spans="1:14" x14ac:dyDescent="0.25">
      <c r="A73" s="6" t="s">
        <v>147</v>
      </c>
      <c r="B73" s="6">
        <v>34</v>
      </c>
      <c r="C73" s="6" t="s">
        <v>438</v>
      </c>
      <c r="D73" s="6" t="s">
        <v>149</v>
      </c>
      <c r="E73" s="6" t="s">
        <v>439</v>
      </c>
      <c r="F73" s="7">
        <v>0</v>
      </c>
      <c r="H73" s="8">
        <f>N(G73)-N(F73)</f>
        <v>0</v>
      </c>
      <c r="I73" s="6" t="s">
        <v>168</v>
      </c>
      <c r="J73" s="6" t="s">
        <v>133</v>
      </c>
      <c r="K73" s="6" t="s">
        <v>332</v>
      </c>
      <c r="L73" s="6" t="s">
        <v>133</v>
      </c>
      <c r="M73" s="6" t="s">
        <v>440</v>
      </c>
      <c r="N73" s="6" t="s">
        <v>441</v>
      </c>
    </row>
    <row r="74" spans="1:14" x14ac:dyDescent="0.25">
      <c r="A74" s="6" t="s">
        <v>147</v>
      </c>
      <c r="B74" s="6">
        <v>41</v>
      </c>
      <c r="C74" s="6" t="s">
        <v>442</v>
      </c>
      <c r="D74" s="6" t="s">
        <v>149</v>
      </c>
      <c r="E74" s="6" t="s">
        <v>443</v>
      </c>
      <c r="F74" s="7">
        <v>0</v>
      </c>
      <c r="H74" s="8">
        <f>N(G74)-N(F74)</f>
        <v>0</v>
      </c>
      <c r="I74" s="6" t="s">
        <v>168</v>
      </c>
      <c r="J74" s="6" t="s">
        <v>133</v>
      </c>
      <c r="K74" s="6" t="s">
        <v>337</v>
      </c>
      <c r="L74" s="6" t="s">
        <v>133</v>
      </c>
      <c r="M74" s="6" t="s">
        <v>444</v>
      </c>
      <c r="N74" s="6" t="s">
        <v>445</v>
      </c>
    </row>
    <row r="75" spans="1:14" x14ac:dyDescent="0.25">
      <c r="A75" s="6" t="s">
        <v>147</v>
      </c>
      <c r="B75" s="6">
        <v>41</v>
      </c>
      <c r="C75" s="6" t="s">
        <v>446</v>
      </c>
      <c r="D75" s="6" t="s">
        <v>149</v>
      </c>
      <c r="E75" s="6" t="s">
        <v>447</v>
      </c>
      <c r="F75" s="7">
        <v>0</v>
      </c>
      <c r="H75" s="8">
        <f>N(G75)-N(F75)</f>
        <v>0</v>
      </c>
      <c r="I75" s="6" t="s">
        <v>168</v>
      </c>
      <c r="J75" s="6" t="s">
        <v>133</v>
      </c>
      <c r="K75" s="6" t="s">
        <v>337</v>
      </c>
      <c r="L75" s="6" t="s">
        <v>133</v>
      </c>
      <c r="M75" s="6" t="s">
        <v>448</v>
      </c>
      <c r="N75" s="6" t="s">
        <v>449</v>
      </c>
    </row>
    <row r="76" spans="1:14" x14ac:dyDescent="0.25">
      <c r="A76" s="6" t="s">
        <v>147</v>
      </c>
      <c r="B76" s="6">
        <v>40</v>
      </c>
      <c r="C76" s="6" t="s">
        <v>450</v>
      </c>
      <c r="D76" s="6" t="s">
        <v>149</v>
      </c>
      <c r="E76" s="6" t="s">
        <v>451</v>
      </c>
      <c r="F76" s="7">
        <v>0</v>
      </c>
      <c r="H76" s="8">
        <f>N(G76)-N(F76)</f>
        <v>0</v>
      </c>
      <c r="I76" s="6" t="s">
        <v>168</v>
      </c>
      <c r="J76" s="6" t="s">
        <v>133</v>
      </c>
      <c r="K76" s="6" t="s">
        <v>337</v>
      </c>
      <c r="L76" s="6" t="s">
        <v>133</v>
      </c>
      <c r="M76" s="6" t="s">
        <v>452</v>
      </c>
      <c r="N76" s="6" t="s">
        <v>453</v>
      </c>
    </row>
    <row r="77" spans="1:14" x14ac:dyDescent="0.25">
      <c r="A77" s="6" t="s">
        <v>147</v>
      </c>
      <c r="B77" s="6">
        <v>39</v>
      </c>
      <c r="C77" s="6" t="s">
        <v>454</v>
      </c>
      <c r="D77" s="6" t="s">
        <v>149</v>
      </c>
      <c r="E77" s="6" t="s">
        <v>455</v>
      </c>
      <c r="F77" s="7">
        <v>0</v>
      </c>
      <c r="H77" s="8">
        <f>N(G77)-N(F77)</f>
        <v>0</v>
      </c>
      <c r="I77" s="6" t="s">
        <v>168</v>
      </c>
      <c r="J77" s="6" t="s">
        <v>133</v>
      </c>
      <c r="K77" s="6" t="s">
        <v>332</v>
      </c>
      <c r="L77" s="6" t="s">
        <v>133</v>
      </c>
      <c r="M77" s="6" t="s">
        <v>456</v>
      </c>
      <c r="N77" s="6" t="s">
        <v>457</v>
      </c>
    </row>
    <row r="78" spans="1:14" x14ac:dyDescent="0.25">
      <c r="A78" s="6" t="s">
        <v>147</v>
      </c>
      <c r="B78" s="6">
        <v>5</v>
      </c>
      <c r="C78" s="6" t="s">
        <v>458</v>
      </c>
      <c r="D78" s="6" t="s">
        <v>149</v>
      </c>
      <c r="E78" s="6" t="s">
        <v>459</v>
      </c>
      <c r="F78" s="7">
        <v>0</v>
      </c>
      <c r="H78" s="8">
        <f>N(G78)-N(F78)</f>
        <v>0</v>
      </c>
      <c r="I78" s="6" t="s">
        <v>168</v>
      </c>
      <c r="J78" s="6" t="s">
        <v>133</v>
      </c>
      <c r="K78" s="6" t="s">
        <v>460</v>
      </c>
      <c r="L78" s="6" t="s">
        <v>133</v>
      </c>
      <c r="M78" s="6" t="s">
        <v>461</v>
      </c>
      <c r="N78" s="6" t="s">
        <v>462</v>
      </c>
    </row>
    <row r="79" spans="1:14" x14ac:dyDescent="0.25">
      <c r="A79" s="6" t="s">
        <v>147</v>
      </c>
      <c r="B79" s="6">
        <v>4</v>
      </c>
      <c r="C79" s="6" t="s">
        <v>463</v>
      </c>
      <c r="D79" s="6" t="s">
        <v>203</v>
      </c>
      <c r="E79" s="6" t="s">
        <v>464</v>
      </c>
      <c r="F79" s="7">
        <v>0</v>
      </c>
      <c r="H79" s="8">
        <f>N(G79)-N(F79)</f>
        <v>0</v>
      </c>
      <c r="I79" s="6" t="s">
        <v>168</v>
      </c>
      <c r="J79" s="6" t="s">
        <v>133</v>
      </c>
      <c r="K79" s="6" t="s">
        <v>342</v>
      </c>
      <c r="L79" s="6" t="s">
        <v>133</v>
      </c>
      <c r="M79" s="6" t="s">
        <v>465</v>
      </c>
      <c r="N79" s="6" t="s">
        <v>466</v>
      </c>
    </row>
    <row r="80" spans="1:14" x14ac:dyDescent="0.25">
      <c r="A80" s="6" t="s">
        <v>382</v>
      </c>
      <c r="B80" s="6">
        <v>36</v>
      </c>
      <c r="C80" s="6" t="s">
        <v>467</v>
      </c>
      <c r="D80" s="6" t="s">
        <v>149</v>
      </c>
      <c r="E80" s="6" t="s">
        <v>468</v>
      </c>
      <c r="F80" s="7">
        <v>-1</v>
      </c>
      <c r="G80" s="7">
        <v>-1</v>
      </c>
      <c r="H80" s="8">
        <f>N(G80)-N(F80)</f>
        <v>0</v>
      </c>
      <c r="I80" s="6" t="s">
        <v>168</v>
      </c>
      <c r="J80" s="6" t="s">
        <v>168</v>
      </c>
      <c r="K80" s="6" t="s">
        <v>469</v>
      </c>
      <c r="L80" s="6" t="s">
        <v>170</v>
      </c>
      <c r="M80" s="6" t="s">
        <v>470</v>
      </c>
      <c r="N80" s="6" t="s">
        <v>471</v>
      </c>
    </row>
    <row r="81" spans="1:14" x14ac:dyDescent="0.25">
      <c r="A81" s="6" t="s">
        <v>147</v>
      </c>
      <c r="B81" s="6">
        <v>27</v>
      </c>
      <c r="C81" s="6" t="s">
        <v>472</v>
      </c>
      <c r="D81" s="6" t="s">
        <v>149</v>
      </c>
      <c r="E81" s="6" t="s">
        <v>464</v>
      </c>
      <c r="F81" s="7">
        <v>0</v>
      </c>
      <c r="H81" s="8">
        <f>N(G81)-N(F81)</f>
        <v>0</v>
      </c>
      <c r="I81" s="6" t="s">
        <v>168</v>
      </c>
      <c r="J81" s="6" t="s">
        <v>133</v>
      </c>
      <c r="K81" s="6" t="s">
        <v>347</v>
      </c>
      <c r="L81" s="6" t="s">
        <v>133</v>
      </c>
      <c r="M81" s="6" t="s">
        <v>473</v>
      </c>
      <c r="N81" s="6" t="s">
        <v>474</v>
      </c>
    </row>
    <row r="82" spans="1:14" x14ac:dyDescent="0.25">
      <c r="A82" s="6" t="s">
        <v>147</v>
      </c>
      <c r="B82" s="6">
        <v>10</v>
      </c>
      <c r="C82" s="6" t="s">
        <v>475</v>
      </c>
      <c r="D82" s="6" t="s">
        <v>203</v>
      </c>
      <c r="E82" s="6" t="s">
        <v>476</v>
      </c>
      <c r="F82" s="7">
        <v>0</v>
      </c>
      <c r="H82" s="8">
        <f>N(G82)-N(F82)</f>
        <v>0</v>
      </c>
      <c r="I82" s="6" t="s">
        <v>168</v>
      </c>
      <c r="J82" s="6" t="s">
        <v>133</v>
      </c>
      <c r="K82" s="6" t="s">
        <v>342</v>
      </c>
      <c r="L82" s="6" t="s">
        <v>133</v>
      </c>
      <c r="M82" s="6" t="s">
        <v>477</v>
      </c>
      <c r="N82" s="6" t="s">
        <v>478</v>
      </c>
    </row>
    <row r="83" spans="1:14" x14ac:dyDescent="0.25">
      <c r="A83" s="6" t="s">
        <v>147</v>
      </c>
      <c r="B83" s="6">
        <v>5</v>
      </c>
      <c r="C83" s="6" t="s">
        <v>479</v>
      </c>
      <c r="D83" s="6" t="s">
        <v>149</v>
      </c>
      <c r="E83" s="6" t="s">
        <v>355</v>
      </c>
      <c r="F83" s="7">
        <v>0</v>
      </c>
      <c r="H83" s="8">
        <f>N(G83)-N(F83)</f>
        <v>0</v>
      </c>
      <c r="I83" s="6" t="s">
        <v>168</v>
      </c>
      <c r="J83" s="6" t="s">
        <v>133</v>
      </c>
      <c r="K83" s="6" t="s">
        <v>347</v>
      </c>
      <c r="L83" s="6" t="s">
        <v>133</v>
      </c>
      <c r="M83" s="6" t="s">
        <v>480</v>
      </c>
      <c r="N83" s="6" t="s">
        <v>481</v>
      </c>
    </row>
    <row r="84" spans="1:14" x14ac:dyDescent="0.25">
      <c r="A84" s="6" t="s">
        <v>147</v>
      </c>
      <c r="B84" s="6">
        <v>36</v>
      </c>
      <c r="C84" s="6" t="s">
        <v>482</v>
      </c>
      <c r="D84" s="6" t="s">
        <v>149</v>
      </c>
      <c r="E84" s="6" t="s">
        <v>483</v>
      </c>
      <c r="F84" s="7">
        <v>0</v>
      </c>
      <c r="H84" s="8">
        <f>N(G84)-N(F84)</f>
        <v>0</v>
      </c>
      <c r="I84" s="6" t="s">
        <v>168</v>
      </c>
      <c r="J84" s="6" t="s">
        <v>133</v>
      </c>
      <c r="K84" s="6" t="s">
        <v>337</v>
      </c>
      <c r="L84" s="6" t="s">
        <v>133</v>
      </c>
      <c r="M84" s="6" t="s">
        <v>484</v>
      </c>
      <c r="N84" s="6" t="s">
        <v>485</v>
      </c>
    </row>
  </sheetData>
  <autoFilter ref="A1:N84"/>
  <conditionalFormatting sqref="H2:H84">
    <cfRule type="cellIs" dxfId="44" priority="1" operator="greaterThan">
      <formula>0</formula>
    </cfRule>
    <cfRule type="cellIs" dxfId="45" priority="2" operator="lessThan">
      <formula>0</formula>
    </cfRule>
  </conditionalFormatting>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FormatPr defaultRowHeight="15" outlineLevelRow="0" outlineLevelCol="0" x14ac:dyDescent="55"/>
  <cols>
    <col min="1" max="1" width="110" customWidth="1"/>
  </cols>
  <sheetData>
    <row r="1" spans="1:1" x14ac:dyDescent="0.25">
      <c r="A1" s="2" t="s">
        <v>486</v>
      </c>
    </row>
    <row r="2" ht="98" customHeight="1" spans="1:1" x14ac:dyDescent="0.25">
      <c r="A2" s="11" t="s">
        <v>487</v>
      </c>
    </row>
    <row r="4" spans="1:1" x14ac:dyDescent="0.25">
      <c r="A4" s="2" t="s">
        <v>488</v>
      </c>
    </row>
    <row r="5" spans="1:1" x14ac:dyDescent="0.25">
      <c r="A5" s="17" t="s">
        <v>489</v>
      </c>
    </row>
    <row r="6" spans="1:1" x14ac:dyDescent="0.25">
      <c r="A6" s="17" t="s">
        <v>490</v>
      </c>
    </row>
    <row r="7" spans="1:1" x14ac:dyDescent="0.25">
      <c r="A7" s="17" t="s">
        <v>491</v>
      </c>
    </row>
    <row r="8" spans="1:1" x14ac:dyDescent="0.25">
      <c r="A8" s="17" t="s">
        <v>492</v>
      </c>
    </row>
    <row r="9" spans="1:1" x14ac:dyDescent="0.25">
      <c r="A9" s="17" t="s">
        <v>493</v>
      </c>
    </row>
    <row r="10" spans="1:1" x14ac:dyDescent="0.25">
      <c r="A10" s="17" t="s">
        <v>494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Wards (last 12 months)</vt:lpstr>
      <vt:lpstr>Wards (this term)</vt:lpstr>
      <vt:lpstr>Projects</vt:lpstr>
      <vt:lpstr>Changes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ward-housing-ranker, npm run impact</dc:creator>
  <dc:title/>
  <dc:subject/>
  <dc:description/>
  <cp:keywords/>
  <cp:category/>
  <cp:lastModifiedBy>Unknown</cp:lastModifiedBy>
  <dcterms:created xsi:type="dcterms:W3CDTF">2026-10-14T19:49:14Z</dcterms:created>
  <dcterms:modified xsi:type="dcterms:W3CDTF">2026-10-14T19:49:14Z</dcterms:modified>
</cp:coreProperties>
</file>